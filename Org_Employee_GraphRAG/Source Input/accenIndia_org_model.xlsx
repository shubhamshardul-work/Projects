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 Summary" sheetId="1" r:id="rId4"/>
    <sheet state="visible" name="Career Levels" sheetId="2" r:id="rId5"/>
    <sheet state="visible" name="Departments" sheetId="3" r:id="rId6"/>
    <sheet state="visible" name="Offices" sheetId="4" r:id="rId7"/>
    <sheet state="visible" name="Skills Catalog" sheetId="5" r:id="rId8"/>
    <sheet state="visible" name="Employees" sheetId="6" r:id="rId9"/>
    <sheet state="visible" name="Employee Skills" sheetId="7" r:id="rId10"/>
    <sheet state="visible" name="Projects" sheetId="8" r:id="rId11"/>
    <sheet state="visible" name="Project Assignments" sheetId="9" r:id="rId12"/>
    <sheet state="visible" name="Project Skills" sheetId="10" r:id="rId13"/>
    <sheet state="visible" name="Certifications" sheetId="11" r:id="rId14"/>
    <sheet state="visible" name="Performance Reviews" sheetId="12" r:id="rId15"/>
    <sheet state="visible" name="Training Records" sheetId="13" r:id="rId16"/>
  </sheets>
  <definedNames>
    <definedName hidden="1" localSheetId="1" name="_xlnm._FilterDatabase">'Career Levels'!$A$1:$G$1</definedName>
    <definedName hidden="1" localSheetId="2" name="_xlnm._FilterDatabase">Departments!$A$1:$G$1</definedName>
    <definedName hidden="1" localSheetId="3" name="_xlnm._FilterDatabase">Offices!$A$1:$J$1</definedName>
    <definedName hidden="1" localSheetId="4" name="_xlnm._FilterDatabase">'Skills Catalog'!$A$1:$E$1</definedName>
    <definedName hidden="1" localSheetId="5" name="_xlnm._FilterDatabase">Employees!$A$1:$AE$1</definedName>
    <definedName hidden="1" localSheetId="6" name="_xlnm._FilterDatabase">'Employee Skills'!$A$1:$H$1</definedName>
    <definedName hidden="1" localSheetId="7" name="_xlnm._FilterDatabase">Projects!$A$1:$M$1</definedName>
    <definedName hidden="1" localSheetId="8" name="_xlnm._FilterDatabase">'Project Assignments'!$A$1:$K$1</definedName>
    <definedName hidden="1" localSheetId="9" name="_xlnm._FilterDatabase">'Project Skills'!$A$1:$D$1</definedName>
    <definedName hidden="1" localSheetId="10" name="_xlnm._FilterDatabase">Certifications!$A$1:$I$1</definedName>
    <definedName hidden="1" localSheetId="11" name="_xlnm._FilterDatabase">'Performance Reviews'!$A$1:$M$1</definedName>
    <definedName hidden="1" localSheetId="12" name="_xlnm._FilterDatabase">'Training Records'!$A$1:$L$1</definedName>
  </definedNames>
  <calcPr/>
  <extLst>
    <ext uri="GoogleSheetsCustomDataVersion2">
      <go:sheetsCustomData xmlns:go="http://customooxmlschemas.google.com/" r:id="rId17" roundtripDataChecksum="X/nzIgi/DWddcWdEVZNTzYsH8p3fsW1zNgOGVfe3bG0="/>
    </ext>
  </extLst>
</workbook>
</file>

<file path=xl/sharedStrings.xml><?xml version="1.0" encoding="utf-8"?>
<sst xmlns="http://schemas.openxmlformats.org/spreadsheetml/2006/main" count="18468" uniqueCount="3958">
  <si>
    <t>accenINDIA – PEOPLE &amp; ORGANIZATION DASHBOARD</t>
  </si>
  <si>
    <t>Sample Data · Data &amp; AI Practice (Illustrative)</t>
  </si>
  <si>
    <t>Total Employees (Sample)</t>
  </si>
  <si>
    <t>Active Projects</t>
  </si>
  <si>
    <t>Skills in Catalog</t>
  </si>
  <si>
    <t>Certifications Issued</t>
  </si>
  <si>
    <t>Avg Experience (Yrs)</t>
  </si>
  <si>
    <t>Active Employees</t>
  </si>
  <si>
    <t>Training Records</t>
  </si>
  <si>
    <t xml:space="preserve">  HEADCOUNT BY CAREER LEVEL</t>
  </si>
  <si>
    <t>Career Level</t>
  </si>
  <si>
    <t>Designation</t>
  </si>
  <si>
    <t>Headcount</t>
  </si>
  <si>
    <t>% of Total</t>
  </si>
  <si>
    <t>Department</t>
  </si>
  <si>
    <t>Dept ID</t>
  </si>
  <si>
    <t>Level 1 – Global Managing Director</t>
  </si>
  <si>
    <t>Global Managing Director</t>
  </si>
  <si>
    <t>Data &amp; AI</t>
  </si>
  <si>
    <t>DEPT001</t>
  </si>
  <si>
    <t>Level 2 – Senior Managing Director</t>
  </si>
  <si>
    <t>Senior Managing Director</t>
  </si>
  <si>
    <t>Cloud &amp; Infrastructure</t>
  </si>
  <si>
    <t>DEPT002</t>
  </si>
  <si>
    <t>Level 3 – Managing Director</t>
  </si>
  <si>
    <t>Managing Director</t>
  </si>
  <si>
    <t>Cybersecurity</t>
  </si>
  <si>
    <t>DEPT003</t>
  </si>
  <si>
    <t>Level 4 – Director</t>
  </si>
  <si>
    <t>Director</t>
  </si>
  <si>
    <t>Digital Commerce</t>
  </si>
  <si>
    <t>DEPT004</t>
  </si>
  <si>
    <t>Level 5 – Associate Director</t>
  </si>
  <si>
    <t>Associate Director</t>
  </si>
  <si>
    <t>Enterprise Platforms</t>
  </si>
  <si>
    <t>DEPT005</t>
  </si>
  <si>
    <t>Level 6 – Senior Manager</t>
  </si>
  <si>
    <t>Senior Manager</t>
  </si>
  <si>
    <t>Finance &amp; Risk</t>
  </si>
  <si>
    <t>DEPT006</t>
  </si>
  <si>
    <t>Level 7 – Manager</t>
  </si>
  <si>
    <t>Manager</t>
  </si>
  <si>
    <t>Supply Chain &amp; Operations</t>
  </si>
  <si>
    <t>DEPT007</t>
  </si>
  <si>
    <t>Level 8 – Associate Manager</t>
  </si>
  <si>
    <t>Associate Manager</t>
  </si>
  <si>
    <t>Human Capital Mgmt</t>
  </si>
  <si>
    <t>DEPT008</t>
  </si>
  <si>
    <t>Level 9 – Team Lead / Specialist</t>
  </si>
  <si>
    <t>Team Lead / Specialist</t>
  </si>
  <si>
    <t>Strategy &amp; Consulting</t>
  </si>
  <si>
    <t>DEPT009</t>
  </si>
  <si>
    <t>Level 10 – Senior Software Engineer</t>
  </si>
  <si>
    <t>Senior Software Engineer</t>
  </si>
  <si>
    <t>Intelligent Automation</t>
  </si>
  <si>
    <t>DEPT010</t>
  </si>
  <si>
    <t>Level 11 – Software Engineer</t>
  </si>
  <si>
    <t>Software Engineer</t>
  </si>
  <si>
    <t>TOTAL</t>
  </si>
  <si>
    <t>Level 12 – Associate Software Engineer</t>
  </si>
  <si>
    <t>Associate Software Engineer</t>
  </si>
  <si>
    <t xml:space="preserve">  PROJECT PORTFOLIO SUMMARY</t>
  </si>
  <si>
    <t>Status</t>
  </si>
  <si>
    <t>Count</t>
  </si>
  <si>
    <t>Total Value (INR)</t>
  </si>
  <si>
    <t>Active</t>
  </si>
  <si>
    <t>Completed</t>
  </si>
  <si>
    <t>On Hold</t>
  </si>
  <si>
    <t>Cancelled</t>
  </si>
  <si>
    <t xml:space="preserve">  WORKFORCE COMPOSITION</t>
  </si>
  <si>
    <t>Employment Status</t>
  </si>
  <si>
    <t>Work Mode</t>
  </si>
  <si>
    <t>Hybrid</t>
  </si>
  <si>
    <t>On Leave</t>
  </si>
  <si>
    <t>Remote</t>
  </si>
  <si>
    <t>Notice Period</t>
  </si>
  <si>
    <t>On-site</t>
  </si>
  <si>
    <t>Terminated</t>
  </si>
  <si>
    <t xml:space="preserve">  HEADCOUNT BY OFFICE / CITY</t>
  </si>
  <si>
    <t>City</t>
  </si>
  <si>
    <t>Country</t>
  </si>
  <si>
    <t>Region</t>
  </si>
  <si>
    <t>Mumbai</t>
  </si>
  <si>
    <t>India</t>
  </si>
  <si>
    <t>APAC</t>
  </si>
  <si>
    <t>Bangalore</t>
  </si>
  <si>
    <t>Hyderabad</t>
  </si>
  <si>
    <t>Pune</t>
  </si>
  <si>
    <t>Delhi NCR</t>
  </si>
  <si>
    <t>New York</t>
  </si>
  <si>
    <t>USA</t>
  </si>
  <si>
    <t>Americas</t>
  </si>
  <si>
    <t>London</t>
  </si>
  <si>
    <t>UK</t>
  </si>
  <si>
    <t>EMEA</t>
  </si>
  <si>
    <t>Singapore</t>
  </si>
  <si>
    <t>Sydney</t>
  </si>
  <si>
    <t>Australia</t>
  </si>
  <si>
    <t>Dubai</t>
  </si>
  <si>
    <t>UAE</t>
  </si>
  <si>
    <t>⚠  This is illustrative / sample data generated for schema demonstration purposes only. Not representative of actual accen data.</t>
  </si>
  <si>
    <t>Level #</t>
  </si>
  <si>
    <t>Level Category</t>
  </si>
  <si>
    <t>Min Exp (Yrs)</t>
  </si>
  <si>
    <t>Typical Span of Control</t>
  </si>
  <si>
    <t>Reports To</t>
  </si>
  <si>
    <t>Description</t>
  </si>
  <si>
    <t>Leadership</t>
  </si>
  <si>
    <t>N/A</t>
  </si>
  <si>
    <t>N/A (Top Level)</t>
  </si>
  <si>
    <t>Shapes firm's global direction and strategy</t>
  </si>
  <si>
    <t>Level 1</t>
  </si>
  <si>
    <t>Cross-service-line senior leadership</t>
  </si>
  <si>
    <t>Multiple Directors</t>
  </si>
  <si>
    <t>Level 2</t>
  </si>
  <si>
    <t>P&amp;L owner for a large practice or geography</t>
  </si>
  <si>
    <t>4–6 Assoc. Directors</t>
  </si>
  <si>
    <t>Level 3 (Leadership)</t>
  </si>
  <si>
    <t>Manages large client accounts &amp; portfolios</t>
  </si>
  <si>
    <t>3–6 Sr Managers</t>
  </si>
  <si>
    <t>Level 4 (Director)</t>
  </si>
  <si>
    <t>Owns delivery of large engagements end-to-end</t>
  </si>
  <si>
    <t>3–5 Managers</t>
  </si>
  <si>
    <t>Level 5 (Assoc. Director)</t>
  </si>
  <si>
    <t>Leads project workstreams; strong client presence</t>
  </si>
  <si>
    <t>2–5 Assoc. Managers</t>
  </si>
  <si>
    <t>Level 6 (Sr Manager)</t>
  </si>
  <si>
    <t>Manages modules; mentors junior members</t>
  </si>
  <si>
    <t>2–4 Team Leads</t>
  </si>
  <si>
    <t>Level 7 (Manager)</t>
  </si>
  <si>
    <t>Coordinates small sub-teams; rising manager</t>
  </si>
  <si>
    <t>Team Lead/Specialist</t>
  </si>
  <si>
    <t>5–12 Engineers</t>
  </si>
  <si>
    <t>Level 8 (Assoc. Manager)</t>
  </si>
  <si>
    <t>Technical lead; owns day-to-day delivery for a squad</t>
  </si>
  <si>
    <t>None (IC)</t>
  </si>
  <si>
    <t>Level 9 (Team Lead)</t>
  </si>
  <si>
    <t>Senior individual contributor; mentors juniors</t>
  </si>
  <si>
    <t>Core individual contributor</t>
  </si>
  <si>
    <t>Entry-level engineer</t>
  </si>
  <si>
    <t>Department_ID</t>
  </si>
  <si>
    <t>Department_Name</t>
  </si>
  <si>
    <t>Service_Line</t>
  </si>
  <si>
    <t>Business_Group</t>
  </si>
  <si>
    <t>Cost_Center</t>
  </si>
  <si>
    <t>Practice_Head_EmpID</t>
  </si>
  <si>
    <t>Parent_Group</t>
  </si>
  <si>
    <t>Technology</t>
  </si>
  <si>
    <t>Technology Group</t>
  </si>
  <si>
    <t>CC-DATA-001</t>
  </si>
  <si>
    <t>EMP0001</t>
  </si>
  <si>
    <t>CC-CLD-001</t>
  </si>
  <si>
    <t>EMP0002</t>
  </si>
  <si>
    <t>CC-SEC-001</t>
  </si>
  <si>
    <t>EMP0003</t>
  </si>
  <si>
    <t>Digital</t>
  </si>
  <si>
    <t>Digital Group</t>
  </si>
  <si>
    <t>CC-DIG-001</t>
  </si>
  <si>
    <t>Enterprise</t>
  </si>
  <si>
    <t>Enterprise Group</t>
  </si>
  <si>
    <t>CC-ENT-001</t>
  </si>
  <si>
    <t>Business Services</t>
  </si>
  <si>
    <t>Business Services Group</t>
  </si>
  <si>
    <t>CC-FIN-001</t>
  </si>
  <si>
    <t>CC-SUP-001</t>
  </si>
  <si>
    <t>CC-HCM-001</t>
  </si>
  <si>
    <t>Consulting</t>
  </si>
  <si>
    <t>Consulting Group</t>
  </si>
  <si>
    <t>CC-STR-001</t>
  </si>
  <si>
    <t>CC-AUT-001</t>
  </si>
  <si>
    <t>Office_ID</t>
  </si>
  <si>
    <t>Address</t>
  </si>
  <si>
    <t>Postal_Code</t>
  </si>
  <si>
    <t>Phone</t>
  </si>
  <si>
    <t>Is_HQ</t>
  </si>
  <si>
    <t>Time_Zone</t>
  </si>
  <si>
    <t>Seating_Capacity</t>
  </si>
  <si>
    <t>OFF001</t>
  </si>
  <si>
    <t>accen Tower, BKC, Mumbai 400051</t>
  </si>
  <si>
    <t>400051</t>
  </si>
  <si>
    <t>+91-22-6678-0000</t>
  </si>
  <si>
    <t>Yes</t>
  </si>
  <si>
    <t>IST (UTC+5:30)</t>
  </si>
  <si>
    <t>OFF002</t>
  </si>
  <si>
    <t>Manyata Tech Park, Hebbal, Bangalore 560045</t>
  </si>
  <si>
    <t>560045</t>
  </si>
  <si>
    <t>+91-80-4100-0000</t>
  </si>
  <si>
    <t>No</t>
  </si>
  <si>
    <t>OFF003</t>
  </si>
  <si>
    <t>Financial District, Nanakramguda, Hyderabad 500032</t>
  </si>
  <si>
    <t>500032</t>
  </si>
  <si>
    <t>+91-40-6700-0000</t>
  </si>
  <si>
    <t>OFF004</t>
  </si>
  <si>
    <t>Magarpatta City, Pune 411013</t>
  </si>
  <si>
    <t>411013</t>
  </si>
  <si>
    <t>+91-20-6601-0000</t>
  </si>
  <si>
    <t>OFF005</t>
  </si>
  <si>
    <t>DLF Cyber City, Gurugram 122002</t>
  </si>
  <si>
    <t>122002</t>
  </si>
  <si>
    <t>+91-124-4600-0000</t>
  </si>
  <si>
    <t>OFF006</t>
  </si>
  <si>
    <t>1345 Avenue of the Americas, NY 10105</t>
  </si>
  <si>
    <t>10105</t>
  </si>
  <si>
    <t>+1-917-452-4400</t>
  </si>
  <si>
    <t>EST (UTC-5:00)</t>
  </si>
  <si>
    <t>OFF007</t>
  </si>
  <si>
    <t>30 Fenchurch Street, London EC3M 3BD</t>
  </si>
  <si>
    <t>EC3M 3BD</t>
  </si>
  <si>
    <t>+44-20-7844-4000</t>
  </si>
  <si>
    <t>GMT (UTC+0:00)</t>
  </si>
  <si>
    <t>OFF008</t>
  </si>
  <si>
    <t>1 Harbourfront Place, Singapore 098633</t>
  </si>
  <si>
    <t>098633</t>
  </si>
  <si>
    <t>+65-6224-8210</t>
  </si>
  <si>
    <t>SGT (UTC+8:00)</t>
  </si>
  <si>
    <t>OFF009</t>
  </si>
  <si>
    <t>Level 10, Sydney Olympic Park, NSW 2127</t>
  </si>
  <si>
    <t>2127</t>
  </si>
  <si>
    <t>+61-2-9005-5000</t>
  </si>
  <si>
    <t>AEDT (UTC+11:00)</t>
  </si>
  <si>
    <t>OFF010</t>
  </si>
  <si>
    <t>DIFC Gate Village, Building 4, Dubai</t>
  </si>
  <si>
    <t>00000</t>
  </si>
  <si>
    <t>+971-4-567-8900</t>
  </si>
  <si>
    <t>GST (UTC+4:00)</t>
  </si>
  <si>
    <t>Skill_ID</t>
  </si>
  <si>
    <t>Skill_Name</t>
  </si>
  <si>
    <t>Skill_Category</t>
  </si>
  <si>
    <t>Sub_Category</t>
  </si>
  <si>
    <t>SK001</t>
  </si>
  <si>
    <t>Python</t>
  </si>
  <si>
    <t>Technical</t>
  </si>
  <si>
    <t>Programming Language</t>
  </si>
  <si>
    <t>Core scripting &amp; data engineering language</t>
  </si>
  <si>
    <t>SK002</t>
  </si>
  <si>
    <t>SQL</t>
  </si>
  <si>
    <t>Database</t>
  </si>
  <si>
    <t>Querying and managing relational databases</t>
  </si>
  <si>
    <t>SK003</t>
  </si>
  <si>
    <t>Apache Spark</t>
  </si>
  <si>
    <t>Big Data</t>
  </si>
  <si>
    <t>Distributed data processing framework</t>
  </si>
  <si>
    <t>SK004</t>
  </si>
  <si>
    <t>Apache Kafka</t>
  </si>
  <si>
    <t>Streaming</t>
  </si>
  <si>
    <t>Real-time event streaming platform</t>
  </si>
  <si>
    <t>SK005</t>
  </si>
  <si>
    <t>AWS</t>
  </si>
  <si>
    <t>Cloud Platform</t>
  </si>
  <si>
    <t>Amazon Web Services cloud platform</t>
  </si>
  <si>
    <t>SK006</t>
  </si>
  <si>
    <t>Azure</t>
  </si>
  <si>
    <t>Microsoft Azure cloud platform</t>
  </si>
  <si>
    <t>SK007</t>
  </si>
  <si>
    <t>GCP</t>
  </si>
  <si>
    <t>Google Cloud Platform</t>
  </si>
  <si>
    <t>SK008</t>
  </si>
  <si>
    <t>Machine Learning</t>
  </si>
  <si>
    <t>AI/ML</t>
  </si>
  <si>
    <t>Supervised/unsupervised model development</t>
  </si>
  <si>
    <t>SK009</t>
  </si>
  <si>
    <t>Deep Learning</t>
  </si>
  <si>
    <t>Neural networks, CNNs, RNNs, Transformers</t>
  </si>
  <si>
    <t>SK010</t>
  </si>
  <si>
    <t>NLP / Generative AI</t>
  </si>
  <si>
    <t>Language models, RAG, LLM fine-tuning</t>
  </si>
  <si>
    <t>SK011</t>
  </si>
  <si>
    <t>Power BI</t>
  </si>
  <si>
    <t>BI/Analytics</t>
  </si>
  <si>
    <t>Microsoft Power BI dashboards &amp; reports</t>
  </si>
  <si>
    <t>SK012</t>
  </si>
  <si>
    <t>Tableau</t>
  </si>
  <si>
    <t>Tableau visual analytics platform</t>
  </si>
  <si>
    <t>SK013</t>
  </si>
  <si>
    <t>Databricks</t>
  </si>
  <si>
    <t>Data Platform</t>
  </si>
  <si>
    <t>Unified analytics &amp; Lakehouse platform</t>
  </si>
  <si>
    <t>SK014</t>
  </si>
  <si>
    <t>Snowflake</t>
  </si>
  <si>
    <t>Cloud data warehouse platform</t>
  </si>
  <si>
    <t>SK015</t>
  </si>
  <si>
    <t>dbt (Data Build Tool)</t>
  </si>
  <si>
    <t>Data Engineering</t>
  </si>
  <si>
    <t>SQL-based data transformation tool</t>
  </si>
  <si>
    <t>SK016</t>
  </si>
  <si>
    <t>Docker</t>
  </si>
  <si>
    <t>DevOps</t>
  </si>
  <si>
    <t>Container platform for app packaging</t>
  </si>
  <si>
    <t>SK017</t>
  </si>
  <si>
    <t>Kubernetes</t>
  </si>
  <si>
    <t>Container orchestration platform</t>
  </si>
  <si>
    <t>SK018</t>
  </si>
  <si>
    <t>Terraform</t>
  </si>
  <si>
    <t>Infrastructure as Code</t>
  </si>
  <si>
    <t>Infrastructure automation tool</t>
  </si>
  <si>
    <t>SK019</t>
  </si>
  <si>
    <t>Java</t>
  </si>
  <si>
    <t>Enterprise-grade programming language</t>
  </si>
  <si>
    <t>SK020</t>
  </si>
  <si>
    <t>Scala</t>
  </si>
  <si>
    <t>JVM language used with Spark</t>
  </si>
  <si>
    <t>SK021</t>
  </si>
  <si>
    <t>React</t>
  </si>
  <si>
    <t>Frontend</t>
  </si>
  <si>
    <t>JavaScript UI library</t>
  </si>
  <si>
    <t>SK022</t>
  </si>
  <si>
    <t>Node.js</t>
  </si>
  <si>
    <t>Backend</t>
  </si>
  <si>
    <t>Server-side JavaScript runtime</t>
  </si>
  <si>
    <t>SK023</t>
  </si>
  <si>
    <t>Azure Data Factory</t>
  </si>
  <si>
    <t>Data Integration</t>
  </si>
  <si>
    <t>Cloud ETL/ELT pipeline service</t>
  </si>
  <si>
    <t>SK024</t>
  </si>
  <si>
    <t>MLflow</t>
  </si>
  <si>
    <t>MLOps</t>
  </si>
  <si>
    <t>ML lifecycle and experiment tracking</t>
  </si>
  <si>
    <t>SK025</t>
  </si>
  <si>
    <t>Apache Airflow</t>
  </si>
  <si>
    <t>Orchestration</t>
  </si>
  <si>
    <t>Workflow scheduler and pipeline manager</t>
  </si>
  <si>
    <t>SK026</t>
  </si>
  <si>
    <t>Project Management</t>
  </si>
  <si>
    <t>Soft Skill</t>
  </si>
  <si>
    <t>Planning, execution, risk management</t>
  </si>
  <si>
    <t>SK027</t>
  </si>
  <si>
    <t>Client Relationship Mgmt</t>
  </si>
  <si>
    <t>Business Dev</t>
  </si>
  <si>
    <t>Building and sustaining client partnerships</t>
  </si>
  <si>
    <t>SK028</t>
  </si>
  <si>
    <t>Agile / Scrum</t>
  </si>
  <si>
    <t>Methodology</t>
  </si>
  <si>
    <t>Iterative delivery and ceremonies</t>
  </si>
  <si>
    <t>SK029</t>
  </si>
  <si>
    <t>Team Leadership</t>
  </si>
  <si>
    <t>Leading, motivating, coaching teams</t>
  </si>
  <si>
    <t>SK030</t>
  </si>
  <si>
    <t>Stakeholder Management</t>
  </si>
  <si>
    <t>Management</t>
  </si>
  <si>
    <t>Managing expectations across stakeholders</t>
  </si>
  <si>
    <t>SK031</t>
  </si>
  <si>
    <t>Communication</t>
  </si>
  <si>
    <t>Interpersonal</t>
  </si>
  <si>
    <t>Written and verbal business communication</t>
  </si>
  <si>
    <t>SK032</t>
  </si>
  <si>
    <t>Problem Solving</t>
  </si>
  <si>
    <t>Analytical</t>
  </si>
  <si>
    <t>Structured analytical thinking</t>
  </si>
  <si>
    <t>SK033</t>
  </si>
  <si>
    <t>Banking &amp; FinServ</t>
  </si>
  <si>
    <t>Domain</t>
  </si>
  <si>
    <t>Industry Vertical</t>
  </si>
  <si>
    <t>FS industry domain knowledge</t>
  </si>
  <si>
    <t>SK034</t>
  </si>
  <si>
    <t>Healthcare &amp; Life Sciences</t>
  </si>
  <si>
    <t>Healthcare domain expertise</t>
  </si>
  <si>
    <t>SK035</t>
  </si>
  <si>
    <t>Retail &amp; Consumer Goods</t>
  </si>
  <si>
    <t>Retail/FMCG domain expertise</t>
  </si>
  <si>
    <t>SK036</t>
  </si>
  <si>
    <t>Energy &amp; Utilities</t>
  </si>
  <si>
    <t>Energy sector domain knowledge</t>
  </si>
  <si>
    <t>SK037</t>
  </si>
  <si>
    <t>Telecommunications</t>
  </si>
  <si>
    <t>Telecom industry knowledge</t>
  </si>
  <si>
    <t>SK038</t>
  </si>
  <si>
    <t>JIRA</t>
  </si>
  <si>
    <t>Tool</t>
  </si>
  <si>
    <t>Project Management Tool</t>
  </si>
  <si>
    <t>Agile issue and project tracking</t>
  </si>
  <si>
    <t>SK039</t>
  </si>
  <si>
    <t>Confluence</t>
  </si>
  <si>
    <t>Collaboration</t>
  </si>
  <si>
    <t>Team documentation &amp; knowledge base</t>
  </si>
  <si>
    <t>SK040</t>
  </si>
  <si>
    <t>Git / GitHub</t>
  </si>
  <si>
    <t>Version Control</t>
  </si>
  <si>
    <t>Source code version control</t>
  </si>
  <si>
    <t>Employee_ID</t>
  </si>
  <si>
    <t>First_Name</t>
  </si>
  <si>
    <t>Last_Name</t>
  </si>
  <si>
    <t>Full_Name</t>
  </si>
  <si>
    <t>Gender</t>
  </si>
  <si>
    <t>Date_of_Birth</t>
  </si>
  <si>
    <t>Nationality</t>
  </si>
  <si>
    <t>Career_Level</t>
  </si>
  <si>
    <t>Level_Category</t>
  </si>
  <si>
    <t>Employee_Band</t>
  </si>
  <si>
    <t>Manager_ID</t>
  </si>
  <si>
    <t>Work_Email</t>
  </si>
  <si>
    <t>Personal_Email</t>
  </si>
  <si>
    <t>Work_Phone</t>
  </si>
  <si>
    <t>Mobile</t>
  </si>
  <si>
    <t>Date_of_Joining</t>
  </si>
  <si>
    <t>Employment_Type</t>
  </si>
  <si>
    <t>Employment_Status</t>
  </si>
  <si>
    <t>Education_Level</t>
  </si>
  <si>
    <t>University</t>
  </si>
  <si>
    <t>Degree</t>
  </si>
  <si>
    <t>Annual_CTC_LPA</t>
  </si>
  <si>
    <t>Currency</t>
  </si>
  <si>
    <t>Notice_Period</t>
  </si>
  <si>
    <t>Work_Mode</t>
  </si>
  <si>
    <t>Years_at_accen</t>
  </si>
  <si>
    <t>Total_Exp_Yrs</t>
  </si>
  <si>
    <t>Rahul</t>
  </si>
  <si>
    <t>Kapoor</t>
  </si>
  <si>
    <t>Rahul Kapoor</t>
  </si>
  <si>
    <t>Male</t>
  </si>
  <si>
    <t>Indian</t>
  </si>
  <si>
    <t>L1</t>
  </si>
  <si>
    <t>rahul.kapoor@accen.com</t>
  </si>
  <si>
    <t>rahul.kapoor4@gmail.com</t>
  </si>
  <si>
    <t>+91-9298308496</t>
  </si>
  <si>
    <t>+91-9932781453</t>
  </si>
  <si>
    <t>Permanent</t>
  </si>
  <si>
    <t>ME</t>
  </si>
  <si>
    <t>INSEAD</t>
  </si>
  <si>
    <t>Data Science</t>
  </si>
  <si>
    <t>INR</t>
  </si>
  <si>
    <t>3 Months</t>
  </si>
  <si>
    <t>Priya</t>
  </si>
  <si>
    <t>Rao</t>
  </si>
  <si>
    <t>Priya Rao</t>
  </si>
  <si>
    <t>Female</t>
  </si>
  <si>
    <t>L2</t>
  </si>
  <si>
    <t>priya.rao@accen.com</t>
  </si>
  <si>
    <t>priya.rao6@gmail.com</t>
  </si>
  <si>
    <t>+91-9988581741</t>
  </si>
  <si>
    <t>+91-9196230889</t>
  </si>
  <si>
    <t>Ph.D</t>
  </si>
  <si>
    <t>LSE</t>
  </si>
  <si>
    <t>Information Technology</t>
  </si>
  <si>
    <t>Sophie</t>
  </si>
  <si>
    <t>Iyer</t>
  </si>
  <si>
    <t>Sophie Iyer</t>
  </si>
  <si>
    <t>L3</t>
  </si>
  <si>
    <t>sophie.iyer@accen.com</t>
  </si>
  <si>
    <t>sophie.iyer21@gmail.com</t>
  </si>
  <si>
    <t>+91-8516472528</t>
  </si>
  <si>
    <t>+91-7858802729</t>
  </si>
  <si>
    <t>M.Tech</t>
  </si>
  <si>
    <t>IIIT Hyderabad</t>
  </si>
  <si>
    <t>EMP0004</t>
  </si>
  <si>
    <t>Varun</t>
  </si>
  <si>
    <t>Tanaka</t>
  </si>
  <si>
    <t>Varun Tanaka</t>
  </si>
  <si>
    <t>L4</t>
  </si>
  <si>
    <t>varun.tanaka@accen.com</t>
  </si>
  <si>
    <t>varun.tanaka35@gmail.com</t>
  </si>
  <si>
    <t>+91-7271321231</t>
  </si>
  <si>
    <t>+91-9323852787</t>
  </si>
  <si>
    <t>MIT</t>
  </si>
  <si>
    <t>EMP0005</t>
  </si>
  <si>
    <t>Ishita</t>
  </si>
  <si>
    <t>Aggarwal</t>
  </si>
  <si>
    <t>Ishita Aggarwal</t>
  </si>
  <si>
    <t>ishita.aggarwal@accen.com</t>
  </si>
  <si>
    <t>ishita.aggarwal66@gmail.com</t>
  </si>
  <si>
    <t>+91-9021195325</t>
  </si>
  <si>
    <t>+91-7192214975</t>
  </si>
  <si>
    <t>MCA</t>
  </si>
  <si>
    <t>BITS Pilani</t>
  </si>
  <si>
    <t>Electronics Engineering</t>
  </si>
  <si>
    <t>EMP0006</t>
  </si>
  <si>
    <t>Vikas</t>
  </si>
  <si>
    <t>Menon</t>
  </si>
  <si>
    <t>Vikas Menon</t>
  </si>
  <si>
    <t>British</t>
  </si>
  <si>
    <t>vikas.menon@accen.com</t>
  </si>
  <si>
    <t>vikas.menon44@gmail.com</t>
  </si>
  <si>
    <t>+91-7456407757</t>
  </si>
  <si>
    <t>+91-8780265840</t>
  </si>
  <si>
    <t>IIM Bangalore</t>
  </si>
  <si>
    <t>Computer Science</t>
  </si>
  <si>
    <t>EMP0007</t>
  </si>
  <si>
    <t>Christopher</t>
  </si>
  <si>
    <t>Mehta</t>
  </si>
  <si>
    <t>Christopher Mehta</t>
  </si>
  <si>
    <t>L5</t>
  </si>
  <si>
    <t>christopher.mehta@accen.com</t>
  </si>
  <si>
    <t>christopher.mehta1@gmail.com</t>
  </si>
  <si>
    <t>+91-9453439902</t>
  </si>
  <si>
    <t>+91-9001120422</t>
  </si>
  <si>
    <t>MBA</t>
  </si>
  <si>
    <t>NIT Trichy</t>
  </si>
  <si>
    <t>Statistics</t>
  </si>
  <si>
    <t>EMP0008</t>
  </si>
  <si>
    <t>Arjun</t>
  </si>
  <si>
    <t>Pandey</t>
  </si>
  <si>
    <t>Arjun Pandey</t>
  </si>
  <si>
    <t>arjun.pandey@accen.com</t>
  </si>
  <si>
    <t>arjun.pandey22@gmail.com</t>
  </si>
  <si>
    <t>+91-8085653306</t>
  </si>
  <si>
    <t>+91-9484543692</t>
  </si>
  <si>
    <t>Contractor</t>
  </si>
  <si>
    <t>Mumbai University</t>
  </si>
  <si>
    <t>EMP0009</t>
  </si>
  <si>
    <t>Smita</t>
  </si>
  <si>
    <t>Chen</t>
  </si>
  <si>
    <t>Smita Chen</t>
  </si>
  <si>
    <t>smita.chen@accen.com</t>
  </si>
  <si>
    <t>smita.chen8@gmail.com</t>
  </si>
  <si>
    <t>+91-7937170674</t>
  </si>
  <si>
    <t>+91-7128446479</t>
  </si>
  <si>
    <t>IIT Bangalore</t>
  </si>
  <si>
    <t>EMP0010</t>
  </si>
  <si>
    <t>Aarti</t>
  </si>
  <si>
    <t>Naik</t>
  </si>
  <si>
    <t>Aarti Naik</t>
  </si>
  <si>
    <t>aarti.naik@accen.com</t>
  </si>
  <si>
    <t>aarti.naik60@gmail.com</t>
  </si>
  <si>
    <t>+91-9986156802</t>
  </si>
  <si>
    <t>+91-9758785197</t>
  </si>
  <si>
    <t>M.Sc</t>
  </si>
  <si>
    <t>EMP0011</t>
  </si>
  <si>
    <t>Meera</t>
  </si>
  <si>
    <t>Meera Pandey</t>
  </si>
  <si>
    <t>meera.pandey@accen.com</t>
  </si>
  <si>
    <t>meera.pandey13@gmail.com</t>
  </si>
  <si>
    <t>+91-7207783823</t>
  </si>
  <si>
    <t>+91-9214976638</t>
  </si>
  <si>
    <t>IIT Bombay</t>
  </si>
  <si>
    <t>EMP0012</t>
  </si>
  <si>
    <t>Sanjay</t>
  </si>
  <si>
    <t>Subramaniam</t>
  </si>
  <si>
    <t>Sanjay Subramaniam</t>
  </si>
  <si>
    <t>American</t>
  </si>
  <si>
    <t>L6</t>
  </si>
  <si>
    <t>sanjay.subramaniam@accen.com</t>
  </si>
  <si>
    <t>sanjay.subramaniam94@gmail.com</t>
  </si>
  <si>
    <t>+91-9276794022</t>
  </si>
  <si>
    <t>+91-9942610311</t>
  </si>
  <si>
    <t>B.Tech</t>
  </si>
  <si>
    <t>2 Months</t>
  </si>
  <si>
    <t>EMP0013</t>
  </si>
  <si>
    <t>Das</t>
  </si>
  <si>
    <t>Arjun Das</t>
  </si>
  <si>
    <t>arjun.das@accen.com</t>
  </si>
  <si>
    <t>arjun.das24@gmail.com</t>
  </si>
  <si>
    <t>+91-7280723939</t>
  </si>
  <si>
    <t>+91-7278808011</t>
  </si>
  <si>
    <t>VIT Vellore</t>
  </si>
  <si>
    <t>Business Administration</t>
  </si>
  <si>
    <t>EMP0014</t>
  </si>
  <si>
    <t>Andre</t>
  </si>
  <si>
    <t>Kaur</t>
  </si>
  <si>
    <t>Andre Kaur</t>
  </si>
  <si>
    <t>andre.kaur@accen.com</t>
  </si>
  <si>
    <t>andre.kaur17@gmail.com</t>
  </si>
  <si>
    <t>+91-9751776856</t>
  </si>
  <si>
    <t>+91-8228579434</t>
  </si>
  <si>
    <t>EMP0015</t>
  </si>
  <si>
    <t>Zoe</t>
  </si>
  <si>
    <t>Sinha</t>
  </si>
  <si>
    <t>Zoe Sinha</t>
  </si>
  <si>
    <t>zoe.sinha@accen.com</t>
  </si>
  <si>
    <t>zoe.sinha91@gmail.com</t>
  </si>
  <si>
    <t>+91-8239741390</t>
  </si>
  <si>
    <t>+91-9678654634</t>
  </si>
  <si>
    <t>B.Sc</t>
  </si>
  <si>
    <t>Mathematics &amp; Computing</t>
  </si>
  <si>
    <t>EMP0016</t>
  </si>
  <si>
    <t>Naveen</t>
  </si>
  <si>
    <t>Joshi</t>
  </si>
  <si>
    <t>Naveen Joshi</t>
  </si>
  <si>
    <t>naveen.joshi@accen.com</t>
  </si>
  <si>
    <t>naveen.joshi7@gmail.com</t>
  </si>
  <si>
    <t>+91-7378765095</t>
  </si>
  <si>
    <t>+91-8734969634</t>
  </si>
  <si>
    <t>BCA</t>
  </si>
  <si>
    <t>EMP0017</t>
  </si>
  <si>
    <t>Shreya</t>
  </si>
  <si>
    <t>Tiwari</t>
  </si>
  <si>
    <t>Shreya Tiwari</t>
  </si>
  <si>
    <t>Singaporean</t>
  </si>
  <si>
    <t>shreya.tiwari@accen.com</t>
  </si>
  <si>
    <t>shreya.tiwari75@gmail.com</t>
  </si>
  <si>
    <t>+91-9263255287</t>
  </si>
  <si>
    <t>+91-8760233636</t>
  </si>
  <si>
    <t>IIT Delhi</t>
  </si>
  <si>
    <t>EMP0018</t>
  </si>
  <si>
    <t>Sachin</t>
  </si>
  <si>
    <t>Bose</t>
  </si>
  <si>
    <t>Sachin Bose</t>
  </si>
  <si>
    <t>sachin.bose@accen.com</t>
  </si>
  <si>
    <t>sachin.bose23@gmail.com</t>
  </si>
  <si>
    <t>+91-8688125990</t>
  </si>
  <si>
    <t>+91-7734872343</t>
  </si>
  <si>
    <t>EMP0019</t>
  </si>
  <si>
    <t>Sunita</t>
  </si>
  <si>
    <t>Sunita Mehta</t>
  </si>
  <si>
    <t>sunita.mehta@accen.com</t>
  </si>
  <si>
    <t>sunita.mehta52@gmail.com</t>
  </si>
  <si>
    <t>+91-8344392136</t>
  </si>
  <si>
    <t>+91-7284910891</t>
  </si>
  <si>
    <t>BE</t>
  </si>
  <si>
    <t>EMP0020</t>
  </si>
  <si>
    <t>Sneha</t>
  </si>
  <si>
    <t>Sneha Joshi</t>
  </si>
  <si>
    <t>L7</t>
  </si>
  <si>
    <t>sneha.joshi@accen.com</t>
  </si>
  <si>
    <t>sneha.joshi66@gmail.com</t>
  </si>
  <si>
    <t>+91-7473503906</t>
  </si>
  <si>
    <t>+91-9361299312</t>
  </si>
  <si>
    <t>EMP0021</t>
  </si>
  <si>
    <t>Wei</t>
  </si>
  <si>
    <t>Wei Naik</t>
  </si>
  <si>
    <t>wei.naik@accen.com</t>
  </si>
  <si>
    <t>wei.naik65@gmail.com</t>
  </si>
  <si>
    <t>+91-8266799287</t>
  </si>
  <si>
    <t>+91-8672442027</t>
  </si>
  <si>
    <t>B.Com</t>
  </si>
  <si>
    <t>EMP0022</t>
  </si>
  <si>
    <t>Sanjay Menon</t>
  </si>
  <si>
    <t>sanjay.menon@accen.com</t>
  </si>
  <si>
    <t>sanjay.menon42@gmail.com</t>
  </si>
  <si>
    <t>+91-8904563246</t>
  </si>
  <si>
    <t>+91-8811808446</t>
  </si>
  <si>
    <t>Systems Engineering</t>
  </si>
  <si>
    <t>EMP0023</t>
  </si>
  <si>
    <t>Vivek</t>
  </si>
  <si>
    <t>Chatterjee</t>
  </si>
  <si>
    <t>Vivek Chatterjee</t>
  </si>
  <si>
    <t>vivek.chatterjee@accen.com</t>
  </si>
  <si>
    <t>vivek.chatterjee61@gmail.com</t>
  </si>
  <si>
    <t>+91-9503991014</t>
  </si>
  <si>
    <t>+91-7298577538</t>
  </si>
  <si>
    <t>EMP0024</t>
  </si>
  <si>
    <t>Yamini</t>
  </si>
  <si>
    <t>Yamini Pandey</t>
  </si>
  <si>
    <t>yamini.pandey@accen.com</t>
  </si>
  <si>
    <t>yamini.pandey60@gmail.com</t>
  </si>
  <si>
    <t>+91-7205684482</t>
  </si>
  <si>
    <t>+91-8020989545</t>
  </si>
  <si>
    <t>EMP0025</t>
  </si>
  <si>
    <t>Mei</t>
  </si>
  <si>
    <t>Banerjee</t>
  </si>
  <si>
    <t>Mei Banerjee</t>
  </si>
  <si>
    <t>mei.banerjee@accen.com</t>
  </si>
  <si>
    <t>mei.banerjee58@gmail.com</t>
  </si>
  <si>
    <t>+91-8061888295</t>
  </si>
  <si>
    <t>+91-8012980660</t>
  </si>
  <si>
    <t>EMP0026</t>
  </si>
  <si>
    <t>Kavya</t>
  </si>
  <si>
    <t>Kumar</t>
  </si>
  <si>
    <t>Kavya Kumar</t>
  </si>
  <si>
    <t>kavya.kumar@accen.com</t>
  </si>
  <si>
    <t>kavya.kumar54@gmail.com</t>
  </si>
  <si>
    <t>+91-8669446954</t>
  </si>
  <si>
    <t>+91-9222588557</t>
  </si>
  <si>
    <t>EMP0027</t>
  </si>
  <si>
    <t>Rekha</t>
  </si>
  <si>
    <t>Rekha Das</t>
  </si>
  <si>
    <t>rekha.das@accen.com</t>
  </si>
  <si>
    <t>rekha.das54@gmail.com</t>
  </si>
  <si>
    <t>+91-9204883826</t>
  </si>
  <si>
    <t>+91-9236938722</t>
  </si>
  <si>
    <t>EMP0028</t>
  </si>
  <si>
    <t>Usha</t>
  </si>
  <si>
    <t>Usha Subramaniam</t>
  </si>
  <si>
    <t>usha.subramaniam@accen.com</t>
  </si>
  <si>
    <t>usha.subramaniam51@gmail.com</t>
  </si>
  <si>
    <t>+91-9424691807</t>
  </si>
  <si>
    <t>+91-9715128418</t>
  </si>
  <si>
    <t>EMP0029</t>
  </si>
  <si>
    <t>Swati</t>
  </si>
  <si>
    <t>Patel</t>
  </si>
  <si>
    <t>Swati Patel</t>
  </si>
  <si>
    <t>Australian</t>
  </si>
  <si>
    <t>swati.patel@accen.com</t>
  </si>
  <si>
    <t>swati.patel61@gmail.com</t>
  </si>
  <si>
    <t>+91-7079885408</t>
  </si>
  <si>
    <t>+91-9209154615</t>
  </si>
  <si>
    <t>Stanford University</t>
  </si>
  <si>
    <t>EMP0030</t>
  </si>
  <si>
    <t>Rahul Pandey</t>
  </si>
  <si>
    <t>rahul.pandey@accen.com</t>
  </si>
  <si>
    <t>rahul.pandey22@gmail.com</t>
  </si>
  <si>
    <t>+91-9481736745</t>
  </si>
  <si>
    <t>+91-9942220096</t>
  </si>
  <si>
    <t>Delhi University</t>
  </si>
  <si>
    <t>EMP0031</t>
  </si>
  <si>
    <t>Sumit</t>
  </si>
  <si>
    <t>Sumit Sinha</t>
  </si>
  <si>
    <t>sumit.sinha@accen.com</t>
  </si>
  <si>
    <t>sumit.sinha77@gmail.com</t>
  </si>
  <si>
    <t>+91-7495934904</t>
  </si>
  <si>
    <t>+91-9318920652</t>
  </si>
  <si>
    <t>EMP0032</t>
  </si>
  <si>
    <t>Ananya</t>
  </si>
  <si>
    <t>Ananya Chatterjee</t>
  </si>
  <si>
    <t>L8</t>
  </si>
  <si>
    <t>ananya.chatterjee@accen.com</t>
  </si>
  <si>
    <t>ananya.chatterjee23@gmail.com</t>
  </si>
  <si>
    <t>+91-9137782054</t>
  </si>
  <si>
    <t>+91-8106745830</t>
  </si>
  <si>
    <t>SP Jain</t>
  </si>
  <si>
    <t>EMP0033</t>
  </si>
  <si>
    <t>Anjali</t>
  </si>
  <si>
    <t>Anjali Pandey</t>
  </si>
  <si>
    <t>anjali.pandey@accen.com</t>
  </si>
  <si>
    <t>anjali.pandey63@gmail.com</t>
  </si>
  <si>
    <t>+91-7868472060</t>
  </si>
  <si>
    <t>+91-8058456871</t>
  </si>
  <si>
    <t>EMP0034</t>
  </si>
  <si>
    <t>Siddharth</t>
  </si>
  <si>
    <t>Siddharth Pandey</t>
  </si>
  <si>
    <t>siddharth.pandey@accen.com</t>
  </si>
  <si>
    <t>siddharth.pandey89@gmail.com</t>
  </si>
  <si>
    <t>+91-7996421080</t>
  </si>
  <si>
    <t>+91-9719709805</t>
  </si>
  <si>
    <t>EMP0035</t>
  </si>
  <si>
    <t>Ana</t>
  </si>
  <si>
    <t>Reddy</t>
  </si>
  <si>
    <t>Ana Reddy</t>
  </si>
  <si>
    <t>ana.reddy@accen.com</t>
  </si>
  <si>
    <t>ana.reddy28@gmail.com</t>
  </si>
  <si>
    <t>+91-8983389930</t>
  </si>
  <si>
    <t>+91-9967718226</t>
  </si>
  <si>
    <t>Pune University</t>
  </si>
  <si>
    <t>EMP0036</t>
  </si>
  <si>
    <t>Mishra</t>
  </si>
  <si>
    <t>Vivek Mishra</t>
  </si>
  <si>
    <t>vivek.mishra@accen.com</t>
  </si>
  <si>
    <t>vivek.mishra97@gmail.com</t>
  </si>
  <si>
    <t>+91-9010207570</t>
  </si>
  <si>
    <t>+91-7050701949</t>
  </si>
  <si>
    <t>IIM Ahmedabad</t>
  </si>
  <si>
    <t>EMP0037</t>
  </si>
  <si>
    <t>Shweta</t>
  </si>
  <si>
    <t>Nair</t>
  </si>
  <si>
    <t>Shweta Nair</t>
  </si>
  <si>
    <t>shweta.nair@accen.com</t>
  </si>
  <si>
    <t>shweta.nair73@gmail.com</t>
  </si>
  <si>
    <t>+91-8244189318</t>
  </si>
  <si>
    <t>+91-8016224205</t>
  </si>
  <si>
    <t>EMP0038</t>
  </si>
  <si>
    <t>Desai</t>
  </si>
  <si>
    <t>Kavya Desai</t>
  </si>
  <si>
    <t>kavya.desai@accen.com</t>
  </si>
  <si>
    <t>kavya.desai11@gmail.com</t>
  </si>
  <si>
    <t>+91-7643351516</t>
  </si>
  <si>
    <t>+91-7711678805</t>
  </si>
  <si>
    <t>EMP0039</t>
  </si>
  <si>
    <t>Kavya Kaur</t>
  </si>
  <si>
    <t>kavya.kaur@accen.com</t>
  </si>
  <si>
    <t>kavya.kaur76@gmail.com</t>
  </si>
  <si>
    <t>+91-9708942956</t>
  </si>
  <si>
    <t>+91-7810545790</t>
  </si>
  <si>
    <t>EMP0040</t>
  </si>
  <si>
    <t>Riya</t>
  </si>
  <si>
    <t>Riya Kumar</t>
  </si>
  <si>
    <t>riya.kumar@accen.com</t>
  </si>
  <si>
    <t>riya.kumar70@gmail.com</t>
  </si>
  <si>
    <t>+91-9022559023</t>
  </si>
  <si>
    <t>+91-7329727086</t>
  </si>
  <si>
    <t>EMP0041</t>
  </si>
  <si>
    <t>Gupta</t>
  </si>
  <si>
    <t>Sneha Gupta</t>
  </si>
  <si>
    <t>sneha.gupta@accen.com</t>
  </si>
  <si>
    <t>sneha.gupta57@gmail.com</t>
  </si>
  <si>
    <t>+91-8139290305</t>
  </si>
  <si>
    <t>+91-9397557058</t>
  </si>
  <si>
    <t>EMP0042</t>
  </si>
  <si>
    <t>Padma</t>
  </si>
  <si>
    <t>Padma Reddy</t>
  </si>
  <si>
    <t>padma.reddy@accen.com</t>
  </si>
  <si>
    <t>padma.reddy33@gmail.com</t>
  </si>
  <si>
    <t>+91-8324221552</t>
  </si>
  <si>
    <t>+91-8655639593</t>
  </si>
  <si>
    <t>EMP0043</t>
  </si>
  <si>
    <t>Ravi</t>
  </si>
  <si>
    <t>Chopra</t>
  </si>
  <si>
    <t>Ravi Chopra</t>
  </si>
  <si>
    <t>ravi.chopra@accen.com</t>
  </si>
  <si>
    <t>ravi.chopra4@gmail.com</t>
  </si>
  <si>
    <t>+91-9580738448</t>
  </si>
  <si>
    <t>+91-7980844261</t>
  </si>
  <si>
    <t>EMP0044</t>
  </si>
  <si>
    <t>Pooja</t>
  </si>
  <si>
    <t>Pooja Mishra</t>
  </si>
  <si>
    <t>pooja.mishra@accen.com</t>
  </si>
  <si>
    <t>pooja.mishra61@gmail.com</t>
  </si>
  <si>
    <t>+91-7998578975</t>
  </si>
  <si>
    <t>+91-9257251668</t>
  </si>
  <si>
    <t>EMP0045</t>
  </si>
  <si>
    <t>Akash</t>
  </si>
  <si>
    <t>Smith</t>
  </si>
  <si>
    <t>Akash Smith</t>
  </si>
  <si>
    <t>akash.smith@accen.com</t>
  </si>
  <si>
    <t>akash.smith62@gmail.com</t>
  </si>
  <si>
    <t>+91-8413448588</t>
  </si>
  <si>
    <t>+91-9260899929</t>
  </si>
  <si>
    <t>EMP0046</t>
  </si>
  <si>
    <t>Pranav</t>
  </si>
  <si>
    <t>Pranav Sinha</t>
  </si>
  <si>
    <t>pranav.sinha@accen.com</t>
  </si>
  <si>
    <t>pranav.sinha20@gmail.com</t>
  </si>
  <si>
    <t>+91-9028138817</t>
  </si>
  <si>
    <t>+91-7517626690</t>
  </si>
  <si>
    <t>EMP0047</t>
  </si>
  <si>
    <t>Wei Tanaka</t>
  </si>
  <si>
    <t>L9</t>
  </si>
  <si>
    <t>wei.tanaka@accen.com</t>
  </si>
  <si>
    <t>wei.tanaka11@gmail.com</t>
  </si>
  <si>
    <t>+91-8345993744</t>
  </si>
  <si>
    <t>+91-9762659543</t>
  </si>
  <si>
    <t>EMP0048</t>
  </si>
  <si>
    <t>Noah</t>
  </si>
  <si>
    <t>Noah Kumar</t>
  </si>
  <si>
    <t>noah.kumar@accen.com</t>
  </si>
  <si>
    <t>noah.kumar22@gmail.com</t>
  </si>
  <si>
    <t>+91-9842414012</t>
  </si>
  <si>
    <t>+91-7118148225</t>
  </si>
  <si>
    <t>EMP0049</t>
  </si>
  <si>
    <t>Johnson</t>
  </si>
  <si>
    <t>Smita Johnson</t>
  </si>
  <si>
    <t>smita.johnson@accen.com</t>
  </si>
  <si>
    <t>smita.johnson75@gmail.com</t>
  </si>
  <si>
    <t>+91-7586343467</t>
  </si>
  <si>
    <t>+91-8888768891</t>
  </si>
  <si>
    <t>EMP0050</t>
  </si>
  <si>
    <t>Ritesh</t>
  </si>
  <si>
    <t>Shah</t>
  </si>
  <si>
    <t>Ritesh Shah</t>
  </si>
  <si>
    <t>ritesh.shah@accen.com</t>
  </si>
  <si>
    <t>ritesh.shah50@gmail.com</t>
  </si>
  <si>
    <t>+91-8979211834</t>
  </si>
  <si>
    <t>+91-7971499889</t>
  </si>
  <si>
    <t>EMP0051</t>
  </si>
  <si>
    <t>Rajesh</t>
  </si>
  <si>
    <t>Rajesh Kapoor</t>
  </si>
  <si>
    <t>rajesh.kapoor@accen.com</t>
  </si>
  <si>
    <t>rajesh.kapoor46@gmail.com</t>
  </si>
  <si>
    <t>+91-7897767542</t>
  </si>
  <si>
    <t>+91-7778751051</t>
  </si>
  <si>
    <t>EMP0052</t>
  </si>
  <si>
    <t>Sumit Chen</t>
  </si>
  <si>
    <t>sumit.chen@accen.com</t>
  </si>
  <si>
    <t>sumit.chen47@gmail.com</t>
  </si>
  <si>
    <t>+91-9174626169</t>
  </si>
  <si>
    <t>+91-8116970813</t>
  </si>
  <si>
    <t>EMP0053</t>
  </si>
  <si>
    <t>Shweta Joshi</t>
  </si>
  <si>
    <t>shweta.joshi@accen.com</t>
  </si>
  <si>
    <t>shweta.joshi51@gmail.com</t>
  </si>
  <si>
    <t>+91-7057377304</t>
  </si>
  <si>
    <t>+91-9197229592</t>
  </si>
  <si>
    <t>EMP0054</t>
  </si>
  <si>
    <t>Smita Mehta</t>
  </si>
  <si>
    <t>smita.mehta@accen.com</t>
  </si>
  <si>
    <t>smita.mehta90@gmail.com</t>
  </si>
  <si>
    <t>+91-8237780776</t>
  </si>
  <si>
    <t>+91-8672222343</t>
  </si>
  <si>
    <t>EMP0055</t>
  </si>
  <si>
    <t>Emily</t>
  </si>
  <si>
    <t>Emily Joshi</t>
  </si>
  <si>
    <t>emily.joshi@accen.com</t>
  </si>
  <si>
    <t>emily.joshi54@gmail.com</t>
  </si>
  <si>
    <t>+91-9682203831</t>
  </si>
  <si>
    <t>+91-9004745558</t>
  </si>
  <si>
    <t>EMP0056</t>
  </si>
  <si>
    <t>Aarti Chen</t>
  </si>
  <si>
    <t>aarti.chen@accen.com</t>
  </si>
  <si>
    <t>aarti.chen59@gmail.com</t>
  </si>
  <si>
    <t>+91-7375794963</t>
  </si>
  <si>
    <t>+91-7868772875</t>
  </si>
  <si>
    <t>EMP0057</t>
  </si>
  <si>
    <t>Nikhil</t>
  </si>
  <si>
    <t>Nikhil Sinha</t>
  </si>
  <si>
    <t>nikhil.sinha@accen.com</t>
  </si>
  <si>
    <t>nikhil.sinha19@gmail.com</t>
  </si>
  <si>
    <t>+91-7532666456</t>
  </si>
  <si>
    <t>+91-8026937302</t>
  </si>
  <si>
    <t>EMP0058</t>
  </si>
  <si>
    <t>Aditya</t>
  </si>
  <si>
    <t>Shetty</t>
  </si>
  <si>
    <t>Aditya Shetty</t>
  </si>
  <si>
    <t>aditya.shetty@accen.com</t>
  </si>
  <si>
    <t>aditya.shetty47@gmail.com</t>
  </si>
  <si>
    <t>+91-9102722503</t>
  </si>
  <si>
    <t>+91-7446573962</t>
  </si>
  <si>
    <t>EMP0059</t>
  </si>
  <si>
    <t>Verma</t>
  </si>
  <si>
    <t>Ishita Verma</t>
  </si>
  <si>
    <t>ishita.verma@accen.com</t>
  </si>
  <si>
    <t>ishita.verma36@gmail.com</t>
  </si>
  <si>
    <t>+91-9557763829</t>
  </si>
  <si>
    <t>+91-9397674993</t>
  </si>
  <si>
    <t>EMP0060</t>
  </si>
  <si>
    <t>Jennifer</t>
  </si>
  <si>
    <t>Jennifer Kaur</t>
  </si>
  <si>
    <t>jennifer.kaur@accen.com</t>
  </si>
  <si>
    <t>jennifer.kaur59@gmail.com</t>
  </si>
  <si>
    <t>+91-8633536196</t>
  </si>
  <si>
    <t>+91-9988199704</t>
  </si>
  <si>
    <t>EMP0061</t>
  </si>
  <si>
    <t>Smita Aggarwal</t>
  </si>
  <si>
    <t>smita.aggarwal@accen.com</t>
  </si>
  <si>
    <t>smita.aggarwal72@gmail.com</t>
  </si>
  <si>
    <t>+91-9300445658</t>
  </si>
  <si>
    <t>+91-9744228168</t>
  </si>
  <si>
    <t>EMP0062</t>
  </si>
  <si>
    <t>Vivek Kaur</t>
  </si>
  <si>
    <t>vivek.kaur@accen.com</t>
  </si>
  <si>
    <t>vivek.kaur36@gmail.com</t>
  </si>
  <si>
    <t>+91-9351337144</t>
  </si>
  <si>
    <t>+91-8757986209</t>
  </si>
  <si>
    <t>EMP0063</t>
  </si>
  <si>
    <t>Akash Desai</t>
  </si>
  <si>
    <t>akash.desai@accen.com</t>
  </si>
  <si>
    <t>akash.desai68@gmail.com</t>
  </si>
  <si>
    <t>+91-7881494468</t>
  </si>
  <si>
    <t>+91-8719575682</t>
  </si>
  <si>
    <t>EMP0064</t>
  </si>
  <si>
    <t>Anjali Sinha</t>
  </si>
  <si>
    <t>anjali.sinha@accen.com</t>
  </si>
  <si>
    <t>anjali.sinha35@gmail.com</t>
  </si>
  <si>
    <t>+91-7882891615</t>
  </si>
  <si>
    <t>+91-9098219346</t>
  </si>
  <si>
    <t>EMP0065</t>
  </si>
  <si>
    <t>Olivia</t>
  </si>
  <si>
    <t>Olivia Subramaniam</t>
  </si>
  <si>
    <t>olivia.subramaniam@accen.com</t>
  </si>
  <si>
    <t>olivia.subramaniam38@gmail.com</t>
  </si>
  <si>
    <t>+91-8343225812</t>
  </si>
  <si>
    <t>+91-7031621546</t>
  </si>
  <si>
    <t>EMP0066</t>
  </si>
  <si>
    <t>Fatima</t>
  </si>
  <si>
    <t>Fatima Mishra</t>
  </si>
  <si>
    <t>fatima.mishra@accen.com</t>
  </si>
  <si>
    <t>fatima.mishra55@gmail.com</t>
  </si>
  <si>
    <t>+91-9348524068</t>
  </si>
  <si>
    <t>+91-9906771237</t>
  </si>
  <si>
    <t>EMP0067</t>
  </si>
  <si>
    <t>Kulkarni</t>
  </si>
  <si>
    <t>Sneha Kulkarni</t>
  </si>
  <si>
    <t>L10</t>
  </si>
  <si>
    <t>sneha.kulkarni@accen.com</t>
  </si>
  <si>
    <t>sneha.kulkarni96@gmail.com</t>
  </si>
  <si>
    <t>+91-8390332335</t>
  </si>
  <si>
    <t>+91-8364916964</t>
  </si>
  <si>
    <t>1 Month</t>
  </si>
  <si>
    <t>EMP0068</t>
  </si>
  <si>
    <t>Sachin Shetty</t>
  </si>
  <si>
    <t>sachin.shetty@accen.com</t>
  </si>
  <si>
    <t>sachin.shetty64@gmail.com</t>
  </si>
  <si>
    <t>+91-8900891093</t>
  </si>
  <si>
    <t>+91-9309896788</t>
  </si>
  <si>
    <t>EMP0069</t>
  </si>
  <si>
    <t>Gaurav</t>
  </si>
  <si>
    <t>Gaurav Kumar</t>
  </si>
  <si>
    <t>gaurav.kumar@accen.com</t>
  </si>
  <si>
    <t>gaurav.kumar37@gmail.com</t>
  </si>
  <si>
    <t>+91-7314775981</t>
  </si>
  <si>
    <t>+91-7369744883</t>
  </si>
  <si>
    <t>EMP0070</t>
  </si>
  <si>
    <t>Gaurav Sinha</t>
  </si>
  <si>
    <t>gaurav.sinha@accen.com</t>
  </si>
  <si>
    <t>gaurav.sinha83@gmail.com</t>
  </si>
  <si>
    <t>+91-7706141043</t>
  </si>
  <si>
    <t>+91-8014841995</t>
  </si>
  <si>
    <t>EMP0071</t>
  </si>
  <si>
    <t>Smita Shah</t>
  </si>
  <si>
    <t>smita.shah@accen.com</t>
  </si>
  <si>
    <t>smita.shah93@gmail.com</t>
  </si>
  <si>
    <t>+91-9689731977</t>
  </si>
  <si>
    <t>+91-7615449555</t>
  </si>
  <si>
    <t>EMP0072</t>
  </si>
  <si>
    <t>Malhotra</t>
  </si>
  <si>
    <t>Yamini Malhotra</t>
  </si>
  <si>
    <t>yamini.malhotra@accen.com</t>
  </si>
  <si>
    <t>yamini.malhotra68@gmail.com</t>
  </si>
  <si>
    <t>+91-7382777406</t>
  </si>
  <si>
    <t>+91-9746543973</t>
  </si>
  <si>
    <t>EMP0073</t>
  </si>
  <si>
    <t>Tanvi</t>
  </si>
  <si>
    <t>Tanvi Nair</t>
  </si>
  <si>
    <t>tanvi.nair@accen.com</t>
  </si>
  <si>
    <t>tanvi.nair70@gmail.com</t>
  </si>
  <si>
    <t>+91-9156139581</t>
  </si>
  <si>
    <t>+91-9711453123</t>
  </si>
  <si>
    <t>EMP0074</t>
  </si>
  <si>
    <t>Kunal</t>
  </si>
  <si>
    <t>Ali</t>
  </si>
  <si>
    <t>Kunal Ali</t>
  </si>
  <si>
    <t>kunal.ali@accen.com</t>
  </si>
  <si>
    <t>kunal.ali69@gmail.com</t>
  </si>
  <si>
    <t>+91-7979424500</t>
  </si>
  <si>
    <t>+91-8921975679</t>
  </si>
  <si>
    <t>EMP0075</t>
  </si>
  <si>
    <t>Bhavna</t>
  </si>
  <si>
    <t>Bhavna Menon</t>
  </si>
  <si>
    <t>bhavna.menon@accen.com</t>
  </si>
  <si>
    <t>bhavna.menon92@gmail.com</t>
  </si>
  <si>
    <t>+91-9113992512</t>
  </si>
  <si>
    <t>+91-7510398910</t>
  </si>
  <si>
    <t>EMP0076</t>
  </si>
  <si>
    <t>Jennifer Aggarwal</t>
  </si>
  <si>
    <t>jennifer.aggarwal@accen.com</t>
  </si>
  <si>
    <t>jennifer.aggarwal50@gmail.com</t>
  </si>
  <si>
    <t>+91-7334493124</t>
  </si>
  <si>
    <t>+91-7919129556</t>
  </si>
  <si>
    <t>EMP0077</t>
  </si>
  <si>
    <t>Singh</t>
  </si>
  <si>
    <t>Nikhil Singh</t>
  </si>
  <si>
    <t>nikhil.singh@accen.com</t>
  </si>
  <si>
    <t>nikhil.singh71@gmail.com</t>
  </si>
  <si>
    <t>+91-9978738457</t>
  </si>
  <si>
    <t>+91-9161543814</t>
  </si>
  <si>
    <t>EMP0078</t>
  </si>
  <si>
    <t>Divya</t>
  </si>
  <si>
    <t>Divya Patel</t>
  </si>
  <si>
    <t>divya.patel@accen.com</t>
  </si>
  <si>
    <t>divya.patel92@gmail.com</t>
  </si>
  <si>
    <t>+91-7588405420</t>
  </si>
  <si>
    <t>+91-8758101640</t>
  </si>
  <si>
    <t>EMP0079</t>
  </si>
  <si>
    <t>Siddharth Chopra</t>
  </si>
  <si>
    <t>siddharth.chopra@accen.com</t>
  </si>
  <si>
    <t>siddharth.chopra48@gmail.com</t>
  </si>
  <si>
    <t>+91-8038883618</t>
  </si>
  <si>
    <t>+91-7066474440</t>
  </si>
  <si>
    <t>EMP0080</t>
  </si>
  <si>
    <t>Andre Reddy</t>
  </si>
  <si>
    <t>andre.reddy@accen.com</t>
  </si>
  <si>
    <t>andre.reddy18@gmail.com</t>
  </si>
  <si>
    <t>+91-7258850827</t>
  </si>
  <si>
    <t>+91-8874138780</t>
  </si>
  <si>
    <t>EMP0081</t>
  </si>
  <si>
    <t>Vikram</t>
  </si>
  <si>
    <t>Vikram Kulkarni</t>
  </si>
  <si>
    <t>vikram.kulkarni@accen.com</t>
  </si>
  <si>
    <t>vikram.kulkarni84@gmail.com</t>
  </si>
  <si>
    <t>+91-8359386488</t>
  </si>
  <si>
    <t>+91-7509938171</t>
  </si>
  <si>
    <t>EMP0082</t>
  </si>
  <si>
    <t>Rekha Reddy</t>
  </si>
  <si>
    <t>rekha.reddy@accen.com</t>
  </si>
  <si>
    <t>rekha.reddy24@gmail.com</t>
  </si>
  <si>
    <t>+91-9234408036</t>
  </si>
  <si>
    <t>+91-8315207581</t>
  </si>
  <si>
    <t>EMP0083</t>
  </si>
  <si>
    <t>Usha Rao</t>
  </si>
  <si>
    <t>usha.rao@accen.com</t>
  </si>
  <si>
    <t>usha.rao86@gmail.com</t>
  </si>
  <si>
    <t>+91-9611525942</t>
  </si>
  <si>
    <t>+91-8488638009</t>
  </si>
  <si>
    <t>EMP0084</t>
  </si>
  <si>
    <t>Deepika</t>
  </si>
  <si>
    <t>Deepika Malhotra</t>
  </si>
  <si>
    <t>deepika.malhotra@accen.com</t>
  </si>
  <si>
    <t>deepika.malhotra10@gmail.com</t>
  </si>
  <si>
    <t>+91-9350244383</t>
  </si>
  <si>
    <t>+91-9168484774</t>
  </si>
  <si>
    <t>EMP0085</t>
  </si>
  <si>
    <t>Kabir</t>
  </si>
  <si>
    <t>Kabir Verma</t>
  </si>
  <si>
    <t>kabir.verma@accen.com</t>
  </si>
  <si>
    <t>kabir.verma63@gmail.com</t>
  </si>
  <si>
    <t>+91-7819228594</t>
  </si>
  <si>
    <t>+91-7555994253</t>
  </si>
  <si>
    <t>EMP0086</t>
  </si>
  <si>
    <t>Pooja Kulkarni</t>
  </si>
  <si>
    <t>pooja.kulkarni@accen.com</t>
  </si>
  <si>
    <t>pooja.kulkarni66@gmail.com</t>
  </si>
  <si>
    <t>+91-7918227257</t>
  </si>
  <si>
    <t>+91-7823930541</t>
  </si>
  <si>
    <t>EMP0087</t>
  </si>
  <si>
    <t>Ajay</t>
  </si>
  <si>
    <t>Ajay Banerjee</t>
  </si>
  <si>
    <t>ajay.banerjee@accen.com</t>
  </si>
  <si>
    <t>ajay.banerjee53@gmail.com</t>
  </si>
  <si>
    <t>+91-8677963333</t>
  </si>
  <si>
    <t>+91-9354177333</t>
  </si>
  <si>
    <t>EMP0088</t>
  </si>
  <si>
    <t>Ishita Chopra</t>
  </si>
  <si>
    <t>ishita.chopra@accen.com</t>
  </si>
  <si>
    <t>ishita.chopra22@gmail.com</t>
  </si>
  <si>
    <t>+91-7663438334</t>
  </si>
  <si>
    <t>+91-9905336422</t>
  </si>
  <si>
    <t>EMP0089</t>
  </si>
  <si>
    <t>Neha</t>
  </si>
  <si>
    <t>Neha Banerjee</t>
  </si>
  <si>
    <t>neha.banerjee@accen.com</t>
  </si>
  <si>
    <t>neha.banerjee78@gmail.com</t>
  </si>
  <si>
    <t>+91-8382983456</t>
  </si>
  <si>
    <t>+91-9308143195</t>
  </si>
  <si>
    <t>EMP0090</t>
  </si>
  <si>
    <t>Aarti Sinha</t>
  </si>
  <si>
    <t>aarti.sinha@accen.com</t>
  </si>
  <si>
    <t>aarti.sinha10@gmail.com</t>
  </si>
  <si>
    <t>+91-9820162823</t>
  </si>
  <si>
    <t>+91-7647560959</t>
  </si>
  <si>
    <t>EMP0091</t>
  </si>
  <si>
    <t>Tarun</t>
  </si>
  <si>
    <t>Tarun Kaur</t>
  </si>
  <si>
    <t>tarun.kaur@accen.com</t>
  </si>
  <si>
    <t>tarun.kaur35@gmail.com</t>
  </si>
  <si>
    <t>+91-8841359961</t>
  </si>
  <si>
    <t>+91-7577201514</t>
  </si>
  <si>
    <t>EMP0092</t>
  </si>
  <si>
    <t>Lakshmi</t>
  </si>
  <si>
    <t>Lakshmi Rao</t>
  </si>
  <si>
    <t>L11</t>
  </si>
  <si>
    <t>lakshmi.rao@accen.com</t>
  </si>
  <si>
    <t>lakshmi.rao51@gmail.com</t>
  </si>
  <si>
    <t>+91-9070579441</t>
  </si>
  <si>
    <t>+91-7986325595</t>
  </si>
  <si>
    <t>EMP0093</t>
  </si>
  <si>
    <t>Emily Kaur</t>
  </si>
  <si>
    <t>emily.kaur@accen.com</t>
  </si>
  <si>
    <t>emily.kaur7@gmail.com</t>
  </si>
  <si>
    <t>+91-9335689107</t>
  </si>
  <si>
    <t>+91-7797480133</t>
  </si>
  <si>
    <t>EMP0094</t>
  </si>
  <si>
    <t>Ana Kapoor</t>
  </si>
  <si>
    <t>ana.kapoor@accen.com</t>
  </si>
  <si>
    <t>ana.kapoor52@gmail.com</t>
  </si>
  <si>
    <t>+91-9048142210</t>
  </si>
  <si>
    <t>+91-7185140804</t>
  </si>
  <si>
    <t>EMP0095</t>
  </si>
  <si>
    <t>Riya Kaur</t>
  </si>
  <si>
    <t>riya.kaur@accen.com</t>
  </si>
  <si>
    <t>riya.kaur69@gmail.com</t>
  </si>
  <si>
    <t>+91-9006843167</t>
  </si>
  <si>
    <t>+91-9305414353</t>
  </si>
  <si>
    <t>EMP0096</t>
  </si>
  <si>
    <t>Divya Smith</t>
  </si>
  <si>
    <t>divya.smith@accen.com</t>
  </si>
  <si>
    <t>divya.smith75@gmail.com</t>
  </si>
  <si>
    <t>+91-8967278794</t>
  </si>
  <si>
    <t>+91-9147759580</t>
  </si>
  <si>
    <t>EMP0097</t>
  </si>
  <si>
    <t>Carlos</t>
  </si>
  <si>
    <t>Carlos Joshi</t>
  </si>
  <si>
    <t>carlos.joshi@accen.com</t>
  </si>
  <si>
    <t>carlos.joshi94@gmail.com</t>
  </si>
  <si>
    <t>+91-7255840058</t>
  </si>
  <si>
    <t>+91-7565643878</t>
  </si>
  <si>
    <t>EMP0098</t>
  </si>
  <si>
    <t>Anjali Nair</t>
  </si>
  <si>
    <t>anjali.nair@accen.com</t>
  </si>
  <si>
    <t>anjali.nair36@gmail.com</t>
  </si>
  <si>
    <t>+91-9285412999</t>
  </si>
  <si>
    <t>+91-7921412071</t>
  </si>
  <si>
    <t>EMP0099</t>
  </si>
  <si>
    <t>Sarah</t>
  </si>
  <si>
    <t>Sarah Shetty</t>
  </si>
  <si>
    <t>sarah.shetty@accen.com</t>
  </si>
  <si>
    <t>sarah.shetty6@gmail.com</t>
  </si>
  <si>
    <t>+91-8178848831</t>
  </si>
  <si>
    <t>+91-7323463188</t>
  </si>
  <si>
    <t>EMP0100</t>
  </si>
  <si>
    <t>Ravi Naik</t>
  </si>
  <si>
    <t>ravi.naik@accen.com</t>
  </si>
  <si>
    <t>ravi.naik53@gmail.com</t>
  </si>
  <si>
    <t>+91-8352852204</t>
  </si>
  <si>
    <t>+91-8934205428</t>
  </si>
  <si>
    <t>EMP0101</t>
  </si>
  <si>
    <t>Al-Hassan</t>
  </si>
  <si>
    <t>Sarah Al-Hassan</t>
  </si>
  <si>
    <t>sarah.al-hassan@accen.com</t>
  </si>
  <si>
    <t>sarah.al-hassan23@gmail.com</t>
  </si>
  <si>
    <t>+91-8711978292</t>
  </si>
  <si>
    <t>+91-7720138105</t>
  </si>
  <si>
    <t>EMP0102</t>
  </si>
  <si>
    <t>Sharma</t>
  </si>
  <si>
    <t>Deepika Sharma</t>
  </si>
  <si>
    <t>deepika.sharma@accen.com</t>
  </si>
  <si>
    <t>deepika.sharma15@gmail.com</t>
  </si>
  <si>
    <t>+91-8354270387</t>
  </si>
  <si>
    <t>+91-9994581206</t>
  </si>
  <si>
    <t>EMP0103</t>
  </si>
  <si>
    <t>Bhavna Sinha</t>
  </si>
  <si>
    <t>bhavna.sinha@accen.com</t>
  </si>
  <si>
    <t>bhavna.sinha18@gmail.com</t>
  </si>
  <si>
    <t>+91-8955439320</t>
  </si>
  <si>
    <t>+91-8016107161</t>
  </si>
  <si>
    <t>EMP0104</t>
  </si>
  <si>
    <t>Sonali</t>
  </si>
  <si>
    <t>Sonali Reddy</t>
  </si>
  <si>
    <t>sonali.reddy@accen.com</t>
  </si>
  <si>
    <t>sonali.reddy91@gmail.com</t>
  </si>
  <si>
    <t>+91-8273823821</t>
  </si>
  <si>
    <t>+91-7480769737</t>
  </si>
  <si>
    <t>EMP0105</t>
  </si>
  <si>
    <t>Nikhil Al-Hassan</t>
  </si>
  <si>
    <t>nikhil.al-hassan@accen.com</t>
  </si>
  <si>
    <t>nikhil.al-hassan77@gmail.com</t>
  </si>
  <si>
    <t>+91-7335651033</t>
  </si>
  <si>
    <t>+91-8829653829</t>
  </si>
  <si>
    <t>EMP0106</t>
  </si>
  <si>
    <t>Hiroshi</t>
  </si>
  <si>
    <t>Hiroshi Chatterjee</t>
  </si>
  <si>
    <t>hiroshi.chatterjee@accen.com</t>
  </si>
  <si>
    <t>hiroshi.chatterjee8@gmail.com</t>
  </si>
  <si>
    <t>+91-8857238353</t>
  </si>
  <si>
    <t>+91-9102535604</t>
  </si>
  <si>
    <t>EMP0107</t>
  </si>
  <si>
    <t>Krishnan</t>
  </si>
  <si>
    <t>Sneha Krishnan</t>
  </si>
  <si>
    <t>sneha.krishnan@accen.com</t>
  </si>
  <si>
    <t>sneha.krishnan61@gmail.com</t>
  </si>
  <si>
    <t>+91-7129401036</t>
  </si>
  <si>
    <t>+91-8674288724</t>
  </si>
  <si>
    <t>EMP0108</t>
  </si>
  <si>
    <t>Kavya Menon</t>
  </si>
  <si>
    <t>kavya.menon@accen.com</t>
  </si>
  <si>
    <t>kavya.menon94@gmail.com</t>
  </si>
  <si>
    <t>+91-7912975373</t>
  </si>
  <si>
    <t>+91-7014892911</t>
  </si>
  <si>
    <t>EMP0109</t>
  </si>
  <si>
    <t>Fatima Menon</t>
  </si>
  <si>
    <t>fatima.menon@accen.com</t>
  </si>
  <si>
    <t>fatima.menon99@gmail.com</t>
  </si>
  <si>
    <t>+91-7064352356</t>
  </si>
  <si>
    <t>+91-7844170559</t>
  </si>
  <si>
    <t>EMP0110</t>
  </si>
  <si>
    <t>Pranav Singh</t>
  </si>
  <si>
    <t>pranav.singh@accen.com</t>
  </si>
  <si>
    <t>pranav.singh41@gmail.com</t>
  </si>
  <si>
    <t>+91-9365726962</t>
  </si>
  <si>
    <t>+91-9754958136</t>
  </si>
  <si>
    <t>EMP0111</t>
  </si>
  <si>
    <t>Wei Mishra</t>
  </si>
  <si>
    <t>wei.mishra@accen.com</t>
  </si>
  <si>
    <t>wei.mishra83@gmail.com</t>
  </si>
  <si>
    <t>+91-9749499669</t>
  </si>
  <si>
    <t>+91-9148434217</t>
  </si>
  <si>
    <t>EMP0112</t>
  </si>
  <si>
    <t>Rekha Nair</t>
  </si>
  <si>
    <t>rekha.nair@accen.com</t>
  </si>
  <si>
    <t>rekha.nair68@gmail.com</t>
  </si>
  <si>
    <t>+91-7549507286</t>
  </si>
  <si>
    <t>+91-7994367382</t>
  </si>
  <si>
    <t>EMP0113</t>
  </si>
  <si>
    <t>Smita Gupta</t>
  </si>
  <si>
    <t>smita.gupta@accen.com</t>
  </si>
  <si>
    <t>smita.gupta28@gmail.com</t>
  </si>
  <si>
    <t>+91-8963319036</t>
  </si>
  <si>
    <t>+91-8363417915</t>
  </si>
  <si>
    <t>EMP0114</t>
  </si>
  <si>
    <t>James</t>
  </si>
  <si>
    <t>James Pandey</t>
  </si>
  <si>
    <t>james.pandey@accen.com</t>
  </si>
  <si>
    <t>james.pandey64@gmail.com</t>
  </si>
  <si>
    <t>+91-8908203398</t>
  </si>
  <si>
    <t>+91-9959592296</t>
  </si>
  <si>
    <t>EMP0115</t>
  </si>
  <si>
    <t>Padma Singh</t>
  </si>
  <si>
    <t>padma.singh@accen.com</t>
  </si>
  <si>
    <t>padma.singh32@gmail.com</t>
  </si>
  <si>
    <t>+91-9045677390</t>
  </si>
  <si>
    <t>+91-9681818113</t>
  </si>
  <si>
    <t>EMP0116</t>
  </si>
  <si>
    <t>Ishita Rao</t>
  </si>
  <si>
    <t>ishita.rao@accen.com</t>
  </si>
  <si>
    <t>ishita.rao10@gmail.com</t>
  </si>
  <si>
    <t>+91-9737150871</t>
  </si>
  <si>
    <t>+91-7026532424</t>
  </si>
  <si>
    <t>EMP0117</t>
  </si>
  <si>
    <t>Aditya Bose</t>
  </si>
  <si>
    <t>aditya.bose@accen.com</t>
  </si>
  <si>
    <t>aditya.bose3@gmail.com</t>
  </si>
  <si>
    <t>+91-9168857273</t>
  </si>
  <si>
    <t>+91-8125661762</t>
  </si>
  <si>
    <t>EMP0118</t>
  </si>
  <si>
    <t>Kartik</t>
  </si>
  <si>
    <t>Kartik Mehta</t>
  </si>
  <si>
    <t>kartik.mehta@accen.com</t>
  </si>
  <si>
    <t>kartik.mehta32@gmail.com</t>
  </si>
  <si>
    <t>+91-9855336828</t>
  </si>
  <si>
    <t>+91-8228817269</t>
  </si>
  <si>
    <t>EMP0119</t>
  </si>
  <si>
    <t>Rekha Menon</t>
  </si>
  <si>
    <t>rekha.menon@accen.com</t>
  </si>
  <si>
    <t>rekha.menon13@gmail.com</t>
  </si>
  <si>
    <t>+91-9163144618</t>
  </si>
  <si>
    <t>+91-7941321686</t>
  </si>
  <si>
    <t>EMP0120</t>
  </si>
  <si>
    <t>Akash Naik</t>
  </si>
  <si>
    <t>akash.naik@accen.com</t>
  </si>
  <si>
    <t>akash.naik21@gmail.com</t>
  </si>
  <si>
    <t>+91-9309352153</t>
  </si>
  <si>
    <t>+91-9321975194</t>
  </si>
  <si>
    <t>EMP0121</t>
  </si>
  <si>
    <t>Siddharth Chatterjee</t>
  </si>
  <si>
    <t>siddharth.chatterjee@accen.com</t>
  </si>
  <si>
    <t>siddharth.chatterjee4@gmail.com</t>
  </si>
  <si>
    <t>+91-9597386604</t>
  </si>
  <si>
    <t>+91-8845614435</t>
  </si>
  <si>
    <t>EMP0122</t>
  </si>
  <si>
    <t>Swati Das</t>
  </si>
  <si>
    <t>L12</t>
  </si>
  <si>
    <t>swati.das@accen.com</t>
  </si>
  <si>
    <t>swati.das41@gmail.com</t>
  </si>
  <si>
    <t>+91-8477211726</t>
  </si>
  <si>
    <t>+91-7374105447</t>
  </si>
  <si>
    <t>EMP0123</t>
  </si>
  <si>
    <t>Meera Malhotra</t>
  </si>
  <si>
    <t>meera.malhotra@accen.com</t>
  </si>
  <si>
    <t>meera.malhotra2@gmail.com</t>
  </si>
  <si>
    <t>+91-8195533911</t>
  </si>
  <si>
    <t>+91-8588917018</t>
  </si>
  <si>
    <t>EMP0124</t>
  </si>
  <si>
    <t>Sunita Malhotra</t>
  </si>
  <si>
    <t>sunita.malhotra@accen.com</t>
  </si>
  <si>
    <t>sunita.malhotra64@gmail.com</t>
  </si>
  <si>
    <t>+91-9432746624</t>
  </si>
  <si>
    <t>+91-7800580102</t>
  </si>
  <si>
    <t>EMP0125</t>
  </si>
  <si>
    <t>Rajesh Reddy</t>
  </si>
  <si>
    <t>rajesh.reddy@accen.com</t>
  </si>
  <si>
    <t>rajesh.reddy41@gmail.com</t>
  </si>
  <si>
    <t>+91-7727517584</t>
  </si>
  <si>
    <t>+91-8307405605</t>
  </si>
  <si>
    <t>EMP0126</t>
  </si>
  <si>
    <t>Sonali Krishnan</t>
  </si>
  <si>
    <t>sonali.krishnan@accen.com</t>
  </si>
  <si>
    <t>sonali.krishnan38@gmail.com</t>
  </si>
  <si>
    <t>+91-9837172518</t>
  </si>
  <si>
    <t>+91-8675805668</t>
  </si>
  <si>
    <t>EMP0127</t>
  </si>
  <si>
    <t>Naveen Aggarwal</t>
  </si>
  <si>
    <t>naveen.aggarwal@accen.com</t>
  </si>
  <si>
    <t>naveen.aggarwal47@gmail.com</t>
  </si>
  <si>
    <t>+91-9873951755</t>
  </si>
  <si>
    <t>+91-9199722665</t>
  </si>
  <si>
    <t>EMP0128</t>
  </si>
  <si>
    <t>Sunita Ali</t>
  </si>
  <si>
    <t>sunita.ali@accen.com</t>
  </si>
  <si>
    <t>sunita.ali48@gmail.com</t>
  </si>
  <si>
    <t>+91-8602585556</t>
  </si>
  <si>
    <t>+91-9783717181</t>
  </si>
  <si>
    <t>EMP0129</t>
  </si>
  <si>
    <t>James Mehta</t>
  </si>
  <si>
    <t>james.mehta@accen.com</t>
  </si>
  <si>
    <t>james.mehta93@gmail.com</t>
  </si>
  <si>
    <t>+91-9853574425</t>
  </si>
  <si>
    <t>+91-8306170437</t>
  </si>
  <si>
    <t>EMP0130</t>
  </si>
  <si>
    <t>Tarun Mehta</t>
  </si>
  <si>
    <t>tarun.mehta@accen.com</t>
  </si>
  <si>
    <t>tarun.mehta56@gmail.com</t>
  </si>
  <si>
    <t>+91-8620130610</t>
  </si>
  <si>
    <t>+91-9515306909</t>
  </si>
  <si>
    <t>EMP0131</t>
  </si>
  <si>
    <t>Manish</t>
  </si>
  <si>
    <t>Manish Bose</t>
  </si>
  <si>
    <t>manish.bose@accen.com</t>
  </si>
  <si>
    <t>manish.bose41@gmail.com</t>
  </si>
  <si>
    <t>+91-9445507517</t>
  </si>
  <si>
    <t>+91-9503511612</t>
  </si>
  <si>
    <t>EMP0132</t>
  </si>
  <si>
    <t>Zoe Nair</t>
  </si>
  <si>
    <t>zoe.nair@accen.com</t>
  </si>
  <si>
    <t>zoe.nair18@gmail.com</t>
  </si>
  <si>
    <t>+91-9354502349</t>
  </si>
  <si>
    <t>+91-8732294776</t>
  </si>
  <si>
    <t>EMP0133</t>
  </si>
  <si>
    <t>Bhavna Malhotra</t>
  </si>
  <si>
    <t>bhavna.malhotra@accen.com</t>
  </si>
  <si>
    <t>bhavna.malhotra63@gmail.com</t>
  </si>
  <si>
    <t>+91-8702844638</t>
  </si>
  <si>
    <t>+91-8818612438</t>
  </si>
  <si>
    <t>EMP0134</t>
  </si>
  <si>
    <t>Vivek Singh</t>
  </si>
  <si>
    <t>vivek.singh@accen.com</t>
  </si>
  <si>
    <t>vivek.singh47@gmail.com</t>
  </si>
  <si>
    <t>+91-9220962570</t>
  </si>
  <si>
    <t>+91-7170896922</t>
  </si>
  <si>
    <t>Intern</t>
  </si>
  <si>
    <t>EMP0135</t>
  </si>
  <si>
    <t>Pranav Desai</t>
  </si>
  <si>
    <t>pranav.desai@accen.com</t>
  </si>
  <si>
    <t>pranav.desai45@gmail.com</t>
  </si>
  <si>
    <t>+91-9911739905</t>
  </si>
  <si>
    <t>+91-9591548965</t>
  </si>
  <si>
    <t>EMP0136</t>
  </si>
  <si>
    <t>Arjun Sinha</t>
  </si>
  <si>
    <t>arjun.sinha@accen.com</t>
  </si>
  <si>
    <t>arjun.sinha18@gmail.com</t>
  </si>
  <si>
    <t>+91-8685162165</t>
  </si>
  <si>
    <t>+91-8135787757</t>
  </si>
  <si>
    <t>EMP0137</t>
  </si>
  <si>
    <t>Pawan</t>
  </si>
  <si>
    <t>Pawan Pandey</t>
  </si>
  <si>
    <t>pawan.pandey@accen.com</t>
  </si>
  <si>
    <t>pawan.pandey36@gmail.com</t>
  </si>
  <si>
    <t>+91-9845486999</t>
  </si>
  <si>
    <t>+91-8862611751</t>
  </si>
  <si>
    <t>EMP0138</t>
  </si>
  <si>
    <t>Nandini</t>
  </si>
  <si>
    <t>Nandini Kumar</t>
  </si>
  <si>
    <t>nandini.kumar@accen.com</t>
  </si>
  <si>
    <t>nandini.kumar44@gmail.com</t>
  </si>
  <si>
    <t>+91-9795899281</t>
  </si>
  <si>
    <t>+91-7198148174</t>
  </si>
  <si>
    <t>EMP0139</t>
  </si>
  <si>
    <t>Varun Chen</t>
  </si>
  <si>
    <t>varun.chen@accen.com</t>
  </si>
  <si>
    <t>varun.chen11@gmail.com</t>
  </si>
  <si>
    <t>+91-8523796787</t>
  </si>
  <si>
    <t>+91-9657273565</t>
  </si>
  <si>
    <t>EMP0140</t>
  </si>
  <si>
    <t>Mohit</t>
  </si>
  <si>
    <t>Mohit Gupta</t>
  </si>
  <si>
    <t>mohit.gupta@accen.com</t>
  </si>
  <si>
    <t>mohit.gupta55@gmail.com</t>
  </si>
  <si>
    <t>+91-9842238595</t>
  </si>
  <si>
    <t>+91-8956174268</t>
  </si>
  <si>
    <t>EMP0141</t>
  </si>
  <si>
    <t>Kartik Kulkarni</t>
  </si>
  <si>
    <t>kartik.kulkarni@accen.com</t>
  </si>
  <si>
    <t>kartik.kulkarni57@gmail.com</t>
  </si>
  <si>
    <t>+91-8438857524</t>
  </si>
  <si>
    <t>+91-7872758589</t>
  </si>
  <si>
    <t>EMP0142</t>
  </si>
  <si>
    <t>Siddharth Mehta</t>
  </si>
  <si>
    <t>siddharth.mehta@accen.com</t>
  </si>
  <si>
    <t>siddharth.mehta78@gmail.com</t>
  </si>
  <si>
    <t>+91-8167916808</t>
  </si>
  <si>
    <t>+91-9828128127</t>
  </si>
  <si>
    <t>EMP0143</t>
  </si>
  <si>
    <t>Bhavna Patel</t>
  </si>
  <si>
    <t>bhavna.patel@accen.com</t>
  </si>
  <si>
    <t>bhavna.patel73@gmail.com</t>
  </si>
  <si>
    <t>+91-8723483162</t>
  </si>
  <si>
    <t>+91-9237816116</t>
  </si>
  <si>
    <t>EMP0144</t>
  </si>
  <si>
    <t>Andre Kumar</t>
  </si>
  <si>
    <t>andre.kumar@accen.com</t>
  </si>
  <si>
    <t>andre.kumar82@gmail.com</t>
  </si>
  <si>
    <t>+91-9197663772</t>
  </si>
  <si>
    <t>+91-9523260097</t>
  </si>
  <si>
    <t>EMP0145</t>
  </si>
  <si>
    <t>Christopher Bose</t>
  </si>
  <si>
    <t>christopher.bose@accen.com</t>
  </si>
  <si>
    <t>christopher.bose8@gmail.com</t>
  </si>
  <si>
    <t>+91-8001190400</t>
  </si>
  <si>
    <t>+91-8779221620</t>
  </si>
  <si>
    <t>EMP0146</t>
  </si>
  <si>
    <t>Kabir Sharma</t>
  </si>
  <si>
    <t>kabir.sharma@accen.com</t>
  </si>
  <si>
    <t>kabir.sharma35@gmail.com</t>
  </si>
  <si>
    <t>+91-7483908903</t>
  </si>
  <si>
    <t>+91-7120451284</t>
  </si>
  <si>
    <t>EMP0147</t>
  </si>
  <si>
    <t>Sophie Kumar</t>
  </si>
  <si>
    <t>sophie.kumar@accen.com</t>
  </si>
  <si>
    <t>sophie.kumar95@gmail.com</t>
  </si>
  <si>
    <t>+91-9084102693</t>
  </si>
  <si>
    <t>+91-7180112884</t>
  </si>
  <si>
    <t>EMP0148</t>
  </si>
  <si>
    <t>Rekha Aggarwal</t>
  </si>
  <si>
    <t>rekha.aggarwal@accen.com</t>
  </si>
  <si>
    <t>rekha.aggarwal48@gmail.com</t>
  </si>
  <si>
    <t>+91-7489626428</t>
  </si>
  <si>
    <t>+91-9757155230</t>
  </si>
  <si>
    <t>EMP0149</t>
  </si>
  <si>
    <t>Ananya Tanaka</t>
  </si>
  <si>
    <t>ananya.tanaka@accen.com</t>
  </si>
  <si>
    <t>ananya.tanaka64@gmail.com</t>
  </si>
  <si>
    <t>+91-7800868043</t>
  </si>
  <si>
    <t>+91-9238897423</t>
  </si>
  <si>
    <t>EMP0150</t>
  </si>
  <si>
    <t>Sneha Mishra</t>
  </si>
  <si>
    <t>sneha.mishra@accen.com</t>
  </si>
  <si>
    <t>sneha.mishra31@gmail.com</t>
  </si>
  <si>
    <t>+91-8719615929</t>
  </si>
  <si>
    <t>+91-7245249289</t>
  </si>
  <si>
    <t>EMP0151</t>
  </si>
  <si>
    <t>Wei Smith</t>
  </si>
  <si>
    <t>wei.smith@accen.com</t>
  </si>
  <si>
    <t>wei.smith17@gmail.com</t>
  </si>
  <si>
    <t>+91-7969405844</t>
  </si>
  <si>
    <t>+91-8069992247</t>
  </si>
  <si>
    <t>Record_ID</t>
  </si>
  <si>
    <t>Proficiency_Level</t>
  </si>
  <si>
    <t>Years_Experience</t>
  </si>
  <si>
    <t>Last_Used_Date</t>
  </si>
  <si>
    <t>Is_Primary_Skill</t>
  </si>
  <si>
    <t>Assessment_Type</t>
  </si>
  <si>
    <t>ESK00001</t>
  </si>
  <si>
    <t>Expert</t>
  </si>
  <si>
    <t>Certified</t>
  </si>
  <si>
    <t>ESK00002</t>
  </si>
  <si>
    <t>Beginner</t>
  </si>
  <si>
    <t>ESK00003</t>
  </si>
  <si>
    <t>ESK00004</t>
  </si>
  <si>
    <t>Advanced</t>
  </si>
  <si>
    <t>Self-Assessed</t>
  </si>
  <si>
    <t>ESK00005</t>
  </si>
  <si>
    <t>Intermediate</t>
  </si>
  <si>
    <t>Manager-Assessed</t>
  </si>
  <si>
    <t>ESK00006</t>
  </si>
  <si>
    <t>ESK00007</t>
  </si>
  <si>
    <t>ESK00008</t>
  </si>
  <si>
    <t>ESK00009</t>
  </si>
  <si>
    <t>ESK00010</t>
  </si>
  <si>
    <t>ESK00011</t>
  </si>
  <si>
    <t>ESK00012</t>
  </si>
  <si>
    <t>ESK00013</t>
  </si>
  <si>
    <t>ESK00014</t>
  </si>
  <si>
    <t>ESK00015</t>
  </si>
  <si>
    <t>ESK00016</t>
  </si>
  <si>
    <t>ESK00017</t>
  </si>
  <si>
    <t>ESK00018</t>
  </si>
  <si>
    <t>ESK00019</t>
  </si>
  <si>
    <t>ESK00020</t>
  </si>
  <si>
    <t>ESK00021</t>
  </si>
  <si>
    <t>ESK00022</t>
  </si>
  <si>
    <t>ESK00023</t>
  </si>
  <si>
    <t>ESK00024</t>
  </si>
  <si>
    <t>ESK00025</t>
  </si>
  <si>
    <t>ESK00026</t>
  </si>
  <si>
    <t>ESK00027</t>
  </si>
  <si>
    <t>ESK00028</t>
  </si>
  <si>
    <t>ESK00029</t>
  </si>
  <si>
    <t>ESK00030</t>
  </si>
  <si>
    <t>ESK00031</t>
  </si>
  <si>
    <t>ESK00032</t>
  </si>
  <si>
    <t>ESK00033</t>
  </si>
  <si>
    <t>ESK00034</t>
  </si>
  <si>
    <t>ESK00035</t>
  </si>
  <si>
    <t>ESK00036</t>
  </si>
  <si>
    <t>ESK00037</t>
  </si>
  <si>
    <t>ESK00038</t>
  </si>
  <si>
    <t>ESK00039</t>
  </si>
  <si>
    <t>ESK00040</t>
  </si>
  <si>
    <t>ESK00041</t>
  </si>
  <si>
    <t>ESK00042</t>
  </si>
  <si>
    <t>ESK00043</t>
  </si>
  <si>
    <t>ESK00044</t>
  </si>
  <si>
    <t>ESK00045</t>
  </si>
  <si>
    <t>ESK00046</t>
  </si>
  <si>
    <t>ESK00047</t>
  </si>
  <si>
    <t>ESK00048</t>
  </si>
  <si>
    <t>ESK00049</t>
  </si>
  <si>
    <t>ESK00050</t>
  </si>
  <si>
    <t>ESK00051</t>
  </si>
  <si>
    <t>ESK00052</t>
  </si>
  <si>
    <t>ESK00053</t>
  </si>
  <si>
    <t>ESK00054</t>
  </si>
  <si>
    <t>ESK00055</t>
  </si>
  <si>
    <t>ESK00056</t>
  </si>
  <si>
    <t>ESK00057</t>
  </si>
  <si>
    <t>ESK00058</t>
  </si>
  <si>
    <t>ESK00059</t>
  </si>
  <si>
    <t>ESK00060</t>
  </si>
  <si>
    <t>ESK00061</t>
  </si>
  <si>
    <t>ESK00062</t>
  </si>
  <si>
    <t>ESK00063</t>
  </si>
  <si>
    <t>ESK00064</t>
  </si>
  <si>
    <t>ESK00065</t>
  </si>
  <si>
    <t>ESK00066</t>
  </si>
  <si>
    <t>ESK00067</t>
  </si>
  <si>
    <t>ESK00068</t>
  </si>
  <si>
    <t>ESK00069</t>
  </si>
  <si>
    <t>ESK00070</t>
  </si>
  <si>
    <t>ESK00071</t>
  </si>
  <si>
    <t>ESK00072</t>
  </si>
  <si>
    <t>ESK00073</t>
  </si>
  <si>
    <t>ESK00074</t>
  </si>
  <si>
    <t>ESK00075</t>
  </si>
  <si>
    <t>ESK00076</t>
  </si>
  <si>
    <t>ESK00077</t>
  </si>
  <si>
    <t>ESK00078</t>
  </si>
  <si>
    <t>ESK00079</t>
  </si>
  <si>
    <t>ESK00080</t>
  </si>
  <si>
    <t>ESK00081</t>
  </si>
  <si>
    <t>ESK00082</t>
  </si>
  <si>
    <t>ESK00083</t>
  </si>
  <si>
    <t>ESK00084</t>
  </si>
  <si>
    <t>ESK00085</t>
  </si>
  <si>
    <t>ESK00086</t>
  </si>
  <si>
    <t>ESK00087</t>
  </si>
  <si>
    <t>ESK00088</t>
  </si>
  <si>
    <t>ESK00089</t>
  </si>
  <si>
    <t>ESK00090</t>
  </si>
  <si>
    <t>ESK00091</t>
  </si>
  <si>
    <t>ESK00092</t>
  </si>
  <si>
    <t>ESK00093</t>
  </si>
  <si>
    <t>ESK00094</t>
  </si>
  <si>
    <t>ESK00095</t>
  </si>
  <si>
    <t>ESK00096</t>
  </si>
  <si>
    <t>ESK00097</t>
  </si>
  <si>
    <t>ESK00098</t>
  </si>
  <si>
    <t>ESK00099</t>
  </si>
  <si>
    <t>ESK00100</t>
  </si>
  <si>
    <t>ESK00101</t>
  </si>
  <si>
    <t>ESK00102</t>
  </si>
  <si>
    <t>ESK00103</t>
  </si>
  <si>
    <t>ESK00104</t>
  </si>
  <si>
    <t>ESK00105</t>
  </si>
  <si>
    <t>ESK00106</t>
  </si>
  <si>
    <t>ESK00107</t>
  </si>
  <si>
    <t>ESK00108</t>
  </si>
  <si>
    <t>ESK00109</t>
  </si>
  <si>
    <t>ESK00110</t>
  </si>
  <si>
    <t>ESK00111</t>
  </si>
  <si>
    <t>ESK00112</t>
  </si>
  <si>
    <t>ESK00113</t>
  </si>
  <si>
    <t>ESK00114</t>
  </si>
  <si>
    <t>ESK00115</t>
  </si>
  <si>
    <t>ESK00116</t>
  </si>
  <si>
    <t>ESK00117</t>
  </si>
  <si>
    <t>ESK00118</t>
  </si>
  <si>
    <t>ESK00119</t>
  </si>
  <si>
    <t>ESK00120</t>
  </si>
  <si>
    <t>ESK00121</t>
  </si>
  <si>
    <t>ESK00122</t>
  </si>
  <si>
    <t>ESK00123</t>
  </si>
  <si>
    <t>ESK00124</t>
  </si>
  <si>
    <t>ESK00125</t>
  </si>
  <si>
    <t>ESK00126</t>
  </si>
  <si>
    <t>ESK00127</t>
  </si>
  <si>
    <t>ESK00128</t>
  </si>
  <si>
    <t>ESK00129</t>
  </si>
  <si>
    <t>ESK00130</t>
  </si>
  <si>
    <t>ESK00131</t>
  </si>
  <si>
    <t>ESK00132</t>
  </si>
  <si>
    <t>ESK00133</t>
  </si>
  <si>
    <t>ESK00134</t>
  </si>
  <si>
    <t>ESK00135</t>
  </si>
  <si>
    <t>ESK00136</t>
  </si>
  <si>
    <t>ESK00137</t>
  </si>
  <si>
    <t>ESK00138</t>
  </si>
  <si>
    <t>ESK00139</t>
  </si>
  <si>
    <t>ESK00140</t>
  </si>
  <si>
    <t>ESK00141</t>
  </si>
  <si>
    <t>ESK00142</t>
  </si>
  <si>
    <t>ESK00143</t>
  </si>
  <si>
    <t>ESK00144</t>
  </si>
  <si>
    <t>ESK00145</t>
  </si>
  <si>
    <t>ESK00146</t>
  </si>
  <si>
    <t>ESK00147</t>
  </si>
  <si>
    <t>ESK00148</t>
  </si>
  <si>
    <t>ESK00149</t>
  </si>
  <si>
    <t>ESK00150</t>
  </si>
  <si>
    <t>ESK00151</t>
  </si>
  <si>
    <t>ESK00152</t>
  </si>
  <si>
    <t>ESK00153</t>
  </si>
  <si>
    <t>ESK00154</t>
  </si>
  <si>
    <t>ESK00155</t>
  </si>
  <si>
    <t>ESK00156</t>
  </si>
  <si>
    <t>ESK00157</t>
  </si>
  <si>
    <t>ESK00158</t>
  </si>
  <si>
    <t>ESK00159</t>
  </si>
  <si>
    <t>ESK00160</t>
  </si>
  <si>
    <t>ESK00161</t>
  </si>
  <si>
    <t>ESK00162</t>
  </si>
  <si>
    <t>ESK00163</t>
  </si>
  <si>
    <t>ESK00164</t>
  </si>
  <si>
    <t>ESK00165</t>
  </si>
  <si>
    <t>ESK00166</t>
  </si>
  <si>
    <t>ESK00167</t>
  </si>
  <si>
    <t>ESK00168</t>
  </si>
  <si>
    <t>ESK00169</t>
  </si>
  <si>
    <t>ESK00170</t>
  </si>
  <si>
    <t>ESK00171</t>
  </si>
  <si>
    <t>ESK00172</t>
  </si>
  <si>
    <t>ESK00173</t>
  </si>
  <si>
    <t>ESK00174</t>
  </si>
  <si>
    <t>ESK00175</t>
  </si>
  <si>
    <t>ESK00176</t>
  </si>
  <si>
    <t>ESK00177</t>
  </si>
  <si>
    <t>ESK00178</t>
  </si>
  <si>
    <t>ESK00179</t>
  </si>
  <si>
    <t>ESK00180</t>
  </si>
  <si>
    <t>ESK00181</t>
  </si>
  <si>
    <t>ESK00182</t>
  </si>
  <si>
    <t>ESK00183</t>
  </si>
  <si>
    <t>ESK00184</t>
  </si>
  <si>
    <t>ESK00185</t>
  </si>
  <si>
    <t>ESK00186</t>
  </si>
  <si>
    <t>ESK00187</t>
  </si>
  <si>
    <t>ESK00188</t>
  </si>
  <si>
    <t>ESK00189</t>
  </si>
  <si>
    <t>ESK00190</t>
  </si>
  <si>
    <t>ESK00191</t>
  </si>
  <si>
    <t>ESK00192</t>
  </si>
  <si>
    <t>ESK00193</t>
  </si>
  <si>
    <t>ESK00194</t>
  </si>
  <si>
    <t>ESK00195</t>
  </si>
  <si>
    <t>ESK00196</t>
  </si>
  <si>
    <t>ESK00197</t>
  </si>
  <si>
    <t>ESK00198</t>
  </si>
  <si>
    <t>ESK00199</t>
  </si>
  <si>
    <t>ESK00200</t>
  </si>
  <si>
    <t>ESK00201</t>
  </si>
  <si>
    <t>ESK00202</t>
  </si>
  <si>
    <t>ESK00203</t>
  </si>
  <si>
    <t>ESK00204</t>
  </si>
  <si>
    <t>ESK00205</t>
  </si>
  <si>
    <t>ESK00206</t>
  </si>
  <si>
    <t>ESK00207</t>
  </si>
  <si>
    <t>ESK00208</t>
  </si>
  <si>
    <t>ESK00209</t>
  </si>
  <si>
    <t>ESK00210</t>
  </si>
  <si>
    <t>ESK00211</t>
  </si>
  <si>
    <t>ESK00212</t>
  </si>
  <si>
    <t>ESK00213</t>
  </si>
  <si>
    <t>ESK00214</t>
  </si>
  <si>
    <t>ESK00215</t>
  </si>
  <si>
    <t>ESK00216</t>
  </si>
  <si>
    <t>ESK00217</t>
  </si>
  <si>
    <t>ESK00218</t>
  </si>
  <si>
    <t>ESK00219</t>
  </si>
  <si>
    <t>ESK00220</t>
  </si>
  <si>
    <t>ESK00221</t>
  </si>
  <si>
    <t>ESK00222</t>
  </si>
  <si>
    <t>ESK00223</t>
  </si>
  <si>
    <t>ESK00224</t>
  </si>
  <si>
    <t>ESK00225</t>
  </si>
  <si>
    <t>ESK00226</t>
  </si>
  <si>
    <t>ESK00227</t>
  </si>
  <si>
    <t>ESK00228</t>
  </si>
  <si>
    <t>ESK00229</t>
  </si>
  <si>
    <t>ESK00230</t>
  </si>
  <si>
    <t>ESK00231</t>
  </si>
  <si>
    <t>ESK00232</t>
  </si>
  <si>
    <t>ESK00233</t>
  </si>
  <si>
    <t>ESK00234</t>
  </si>
  <si>
    <t>ESK00235</t>
  </si>
  <si>
    <t>ESK00236</t>
  </si>
  <si>
    <t>ESK00237</t>
  </si>
  <si>
    <t>ESK00238</t>
  </si>
  <si>
    <t>ESK00239</t>
  </si>
  <si>
    <t>ESK00240</t>
  </si>
  <si>
    <t>ESK00241</t>
  </si>
  <si>
    <t>ESK00242</t>
  </si>
  <si>
    <t>ESK00243</t>
  </si>
  <si>
    <t>ESK00244</t>
  </si>
  <si>
    <t>ESK00245</t>
  </si>
  <si>
    <t>ESK00246</t>
  </si>
  <si>
    <t>ESK00247</t>
  </si>
  <si>
    <t>ESK00248</t>
  </si>
  <si>
    <t>ESK00249</t>
  </si>
  <si>
    <t>ESK00250</t>
  </si>
  <si>
    <t>ESK00251</t>
  </si>
  <si>
    <t>ESK00252</t>
  </si>
  <si>
    <t>ESK00253</t>
  </si>
  <si>
    <t>ESK00254</t>
  </si>
  <si>
    <t>ESK00255</t>
  </si>
  <si>
    <t>ESK00256</t>
  </si>
  <si>
    <t>ESK00257</t>
  </si>
  <si>
    <t>ESK00258</t>
  </si>
  <si>
    <t>ESK00259</t>
  </si>
  <si>
    <t>ESK00260</t>
  </si>
  <si>
    <t>ESK00261</t>
  </si>
  <si>
    <t>ESK00262</t>
  </si>
  <si>
    <t>ESK00263</t>
  </si>
  <si>
    <t>ESK00264</t>
  </si>
  <si>
    <t>ESK00265</t>
  </si>
  <si>
    <t>ESK00266</t>
  </si>
  <si>
    <t>ESK00267</t>
  </si>
  <si>
    <t>ESK00268</t>
  </si>
  <si>
    <t>ESK00269</t>
  </si>
  <si>
    <t>ESK00270</t>
  </si>
  <si>
    <t>ESK00271</t>
  </si>
  <si>
    <t>ESK00272</t>
  </si>
  <si>
    <t>ESK00273</t>
  </si>
  <si>
    <t>ESK00274</t>
  </si>
  <si>
    <t>ESK00275</t>
  </si>
  <si>
    <t>ESK00276</t>
  </si>
  <si>
    <t>ESK00277</t>
  </si>
  <si>
    <t>ESK00278</t>
  </si>
  <si>
    <t>ESK00279</t>
  </si>
  <si>
    <t>ESK00280</t>
  </si>
  <si>
    <t>ESK00281</t>
  </si>
  <si>
    <t>ESK00282</t>
  </si>
  <si>
    <t>ESK00283</t>
  </si>
  <si>
    <t>ESK00284</t>
  </si>
  <si>
    <t>ESK00285</t>
  </si>
  <si>
    <t>ESK00286</t>
  </si>
  <si>
    <t>ESK00287</t>
  </si>
  <si>
    <t>ESK00288</t>
  </si>
  <si>
    <t>ESK00289</t>
  </si>
  <si>
    <t>ESK00290</t>
  </si>
  <si>
    <t>ESK00291</t>
  </si>
  <si>
    <t>ESK00292</t>
  </si>
  <si>
    <t>ESK00293</t>
  </si>
  <si>
    <t>ESK00294</t>
  </si>
  <si>
    <t>ESK00295</t>
  </si>
  <si>
    <t>ESK00296</t>
  </si>
  <si>
    <t>ESK00297</t>
  </si>
  <si>
    <t>ESK00298</t>
  </si>
  <si>
    <t>ESK00299</t>
  </si>
  <si>
    <t>ESK00300</t>
  </si>
  <si>
    <t>ESK00301</t>
  </si>
  <si>
    <t>ESK00302</t>
  </si>
  <si>
    <t>ESK00303</t>
  </si>
  <si>
    <t>ESK00304</t>
  </si>
  <si>
    <t>ESK00305</t>
  </si>
  <si>
    <t>ESK00306</t>
  </si>
  <si>
    <t>ESK00307</t>
  </si>
  <si>
    <t>ESK00308</t>
  </si>
  <si>
    <t>ESK00309</t>
  </si>
  <si>
    <t>ESK00310</t>
  </si>
  <si>
    <t>ESK00311</t>
  </si>
  <si>
    <t>ESK00312</t>
  </si>
  <si>
    <t>ESK00313</t>
  </si>
  <si>
    <t>ESK00314</t>
  </si>
  <si>
    <t>ESK00315</t>
  </si>
  <si>
    <t>ESK00316</t>
  </si>
  <si>
    <t>ESK00317</t>
  </si>
  <si>
    <t>ESK00318</t>
  </si>
  <si>
    <t>ESK00319</t>
  </si>
  <si>
    <t>ESK00320</t>
  </si>
  <si>
    <t>ESK00321</t>
  </si>
  <si>
    <t>ESK00322</t>
  </si>
  <si>
    <t>ESK00323</t>
  </si>
  <si>
    <t>ESK00324</t>
  </si>
  <si>
    <t>ESK00325</t>
  </si>
  <si>
    <t>ESK00326</t>
  </si>
  <si>
    <t>ESK00327</t>
  </si>
  <si>
    <t>ESK00328</t>
  </si>
  <si>
    <t>ESK00329</t>
  </si>
  <si>
    <t>ESK00330</t>
  </si>
  <si>
    <t>ESK00331</t>
  </si>
  <si>
    <t>ESK00332</t>
  </si>
  <si>
    <t>ESK00333</t>
  </si>
  <si>
    <t>ESK00334</t>
  </si>
  <si>
    <t>ESK00335</t>
  </si>
  <si>
    <t>ESK00336</t>
  </si>
  <si>
    <t>ESK00337</t>
  </si>
  <si>
    <t>ESK00338</t>
  </si>
  <si>
    <t>ESK00339</t>
  </si>
  <si>
    <t>ESK00340</t>
  </si>
  <si>
    <t>ESK00341</t>
  </si>
  <si>
    <t>ESK00342</t>
  </si>
  <si>
    <t>ESK00343</t>
  </si>
  <si>
    <t>ESK00344</t>
  </si>
  <si>
    <t>ESK00345</t>
  </si>
  <si>
    <t>ESK00346</t>
  </si>
  <si>
    <t>ESK00347</t>
  </si>
  <si>
    <t>ESK00348</t>
  </si>
  <si>
    <t>ESK00349</t>
  </si>
  <si>
    <t>ESK00350</t>
  </si>
  <si>
    <t>ESK00351</t>
  </si>
  <si>
    <t>ESK00352</t>
  </si>
  <si>
    <t>ESK00353</t>
  </si>
  <si>
    <t>ESK00354</t>
  </si>
  <si>
    <t>ESK00355</t>
  </si>
  <si>
    <t>ESK00356</t>
  </si>
  <si>
    <t>ESK00357</t>
  </si>
  <si>
    <t>ESK00358</t>
  </si>
  <si>
    <t>ESK00359</t>
  </si>
  <si>
    <t>ESK00360</t>
  </si>
  <si>
    <t>ESK00361</t>
  </si>
  <si>
    <t>ESK00362</t>
  </si>
  <si>
    <t>ESK00363</t>
  </si>
  <si>
    <t>ESK00364</t>
  </si>
  <si>
    <t>ESK00365</t>
  </si>
  <si>
    <t>ESK00366</t>
  </si>
  <si>
    <t>ESK00367</t>
  </si>
  <si>
    <t>ESK00368</t>
  </si>
  <si>
    <t>ESK00369</t>
  </si>
  <si>
    <t>ESK00370</t>
  </si>
  <si>
    <t>ESK00371</t>
  </si>
  <si>
    <t>ESK00372</t>
  </si>
  <si>
    <t>ESK00373</t>
  </si>
  <si>
    <t>ESK00374</t>
  </si>
  <si>
    <t>ESK00375</t>
  </si>
  <si>
    <t>ESK00376</t>
  </si>
  <si>
    <t>ESK00377</t>
  </si>
  <si>
    <t>ESK00378</t>
  </si>
  <si>
    <t>ESK00379</t>
  </si>
  <si>
    <t>ESK00380</t>
  </si>
  <si>
    <t>ESK00381</t>
  </si>
  <si>
    <t>ESK00382</t>
  </si>
  <si>
    <t>ESK00383</t>
  </si>
  <si>
    <t>ESK00384</t>
  </si>
  <si>
    <t>ESK00385</t>
  </si>
  <si>
    <t>ESK00386</t>
  </si>
  <si>
    <t>ESK00387</t>
  </si>
  <si>
    <t>ESK00388</t>
  </si>
  <si>
    <t>ESK00389</t>
  </si>
  <si>
    <t>ESK00390</t>
  </si>
  <si>
    <t>ESK00391</t>
  </si>
  <si>
    <t>ESK00392</t>
  </si>
  <si>
    <t>ESK00393</t>
  </si>
  <si>
    <t>ESK00394</t>
  </si>
  <si>
    <t>ESK00395</t>
  </si>
  <si>
    <t>ESK00396</t>
  </si>
  <si>
    <t>ESK00397</t>
  </si>
  <si>
    <t>ESK00398</t>
  </si>
  <si>
    <t>ESK00399</t>
  </si>
  <si>
    <t>ESK00400</t>
  </si>
  <si>
    <t>ESK00401</t>
  </si>
  <si>
    <t>ESK00402</t>
  </si>
  <si>
    <t>ESK00403</t>
  </si>
  <si>
    <t>ESK00404</t>
  </si>
  <si>
    <t>ESK00405</t>
  </si>
  <si>
    <t>ESK00406</t>
  </si>
  <si>
    <t>ESK00407</t>
  </si>
  <si>
    <t>ESK00408</t>
  </si>
  <si>
    <t>ESK00409</t>
  </si>
  <si>
    <t>ESK00410</t>
  </si>
  <si>
    <t>ESK00411</t>
  </si>
  <si>
    <t>ESK00412</t>
  </si>
  <si>
    <t>ESK00413</t>
  </si>
  <si>
    <t>ESK00414</t>
  </si>
  <si>
    <t>ESK00415</t>
  </si>
  <si>
    <t>ESK00416</t>
  </si>
  <si>
    <t>ESK00417</t>
  </si>
  <si>
    <t>ESK00418</t>
  </si>
  <si>
    <t>ESK00419</t>
  </si>
  <si>
    <t>ESK00420</t>
  </si>
  <si>
    <t>ESK00421</t>
  </si>
  <si>
    <t>ESK00422</t>
  </si>
  <si>
    <t>ESK00423</t>
  </si>
  <si>
    <t>ESK00424</t>
  </si>
  <si>
    <t>ESK00425</t>
  </si>
  <si>
    <t>ESK00426</t>
  </si>
  <si>
    <t>ESK00427</t>
  </si>
  <si>
    <t>ESK00428</t>
  </si>
  <si>
    <t>ESK00429</t>
  </si>
  <si>
    <t>ESK00430</t>
  </si>
  <si>
    <t>ESK00431</t>
  </si>
  <si>
    <t>ESK00432</t>
  </si>
  <si>
    <t>ESK00433</t>
  </si>
  <si>
    <t>ESK00434</t>
  </si>
  <si>
    <t>ESK00435</t>
  </si>
  <si>
    <t>ESK00436</t>
  </si>
  <si>
    <t>ESK00437</t>
  </si>
  <si>
    <t>ESK00438</t>
  </si>
  <si>
    <t>ESK00439</t>
  </si>
  <si>
    <t>ESK00440</t>
  </si>
  <si>
    <t>ESK00441</t>
  </si>
  <si>
    <t>ESK00442</t>
  </si>
  <si>
    <t>ESK00443</t>
  </si>
  <si>
    <t>ESK00444</t>
  </si>
  <si>
    <t>ESK00445</t>
  </si>
  <si>
    <t>ESK00446</t>
  </si>
  <si>
    <t>ESK00447</t>
  </si>
  <si>
    <t>ESK00448</t>
  </si>
  <si>
    <t>ESK00449</t>
  </si>
  <si>
    <t>ESK00450</t>
  </si>
  <si>
    <t>ESK00451</t>
  </si>
  <si>
    <t>ESK00452</t>
  </si>
  <si>
    <t>ESK00453</t>
  </si>
  <si>
    <t>ESK00454</t>
  </si>
  <si>
    <t>ESK00455</t>
  </si>
  <si>
    <t>ESK00456</t>
  </si>
  <si>
    <t>ESK00457</t>
  </si>
  <si>
    <t>ESK00458</t>
  </si>
  <si>
    <t>ESK00459</t>
  </si>
  <si>
    <t>ESK00460</t>
  </si>
  <si>
    <t>ESK00461</t>
  </si>
  <si>
    <t>ESK00462</t>
  </si>
  <si>
    <t>ESK00463</t>
  </si>
  <si>
    <t>ESK00464</t>
  </si>
  <si>
    <t>ESK00465</t>
  </si>
  <si>
    <t>ESK00466</t>
  </si>
  <si>
    <t>ESK00467</t>
  </si>
  <si>
    <t>ESK00468</t>
  </si>
  <si>
    <t>ESK00469</t>
  </si>
  <si>
    <t>ESK00470</t>
  </si>
  <si>
    <t>ESK00471</t>
  </si>
  <si>
    <t>ESK00472</t>
  </si>
  <si>
    <t>ESK00473</t>
  </si>
  <si>
    <t>ESK00474</t>
  </si>
  <si>
    <t>ESK00475</t>
  </si>
  <si>
    <t>ESK00476</t>
  </si>
  <si>
    <t>ESK00477</t>
  </si>
  <si>
    <t>ESK00478</t>
  </si>
  <si>
    <t>ESK00479</t>
  </si>
  <si>
    <t>ESK00480</t>
  </si>
  <si>
    <t>ESK00481</t>
  </si>
  <si>
    <t>ESK00482</t>
  </si>
  <si>
    <t>ESK00483</t>
  </si>
  <si>
    <t>ESK00484</t>
  </si>
  <si>
    <t>ESK00485</t>
  </si>
  <si>
    <t>ESK00486</t>
  </si>
  <si>
    <t>ESK00487</t>
  </si>
  <si>
    <t>ESK00488</t>
  </si>
  <si>
    <t>ESK00489</t>
  </si>
  <si>
    <t>ESK00490</t>
  </si>
  <si>
    <t>ESK00491</t>
  </si>
  <si>
    <t>ESK00492</t>
  </si>
  <si>
    <t>ESK00493</t>
  </si>
  <si>
    <t>ESK00494</t>
  </si>
  <si>
    <t>ESK00495</t>
  </si>
  <si>
    <t>ESK00496</t>
  </si>
  <si>
    <t>ESK00497</t>
  </si>
  <si>
    <t>ESK00498</t>
  </si>
  <si>
    <t>ESK00499</t>
  </si>
  <si>
    <t>ESK00500</t>
  </si>
  <si>
    <t>ESK00501</t>
  </si>
  <si>
    <t>ESK00502</t>
  </si>
  <si>
    <t>ESK00503</t>
  </si>
  <si>
    <t>ESK00504</t>
  </si>
  <si>
    <t>ESK00505</t>
  </si>
  <si>
    <t>ESK00506</t>
  </si>
  <si>
    <t>ESK00507</t>
  </si>
  <si>
    <t>ESK00508</t>
  </si>
  <si>
    <t>ESK00509</t>
  </si>
  <si>
    <t>ESK00510</t>
  </si>
  <si>
    <t>ESK00511</t>
  </si>
  <si>
    <t>ESK00512</t>
  </si>
  <si>
    <t>ESK00513</t>
  </si>
  <si>
    <t>ESK00514</t>
  </si>
  <si>
    <t>ESK00515</t>
  </si>
  <si>
    <t>ESK00516</t>
  </si>
  <si>
    <t>ESK00517</t>
  </si>
  <si>
    <t>ESK00518</t>
  </si>
  <si>
    <t>ESK00519</t>
  </si>
  <si>
    <t>ESK00520</t>
  </si>
  <si>
    <t>ESK00521</t>
  </si>
  <si>
    <t>ESK00522</t>
  </si>
  <si>
    <t>ESK00523</t>
  </si>
  <si>
    <t>ESK00524</t>
  </si>
  <si>
    <t>ESK00525</t>
  </si>
  <si>
    <t>ESK00526</t>
  </si>
  <si>
    <t>ESK00527</t>
  </si>
  <si>
    <t>ESK00528</t>
  </si>
  <si>
    <t>ESK00529</t>
  </si>
  <si>
    <t>ESK00530</t>
  </si>
  <si>
    <t>ESK00531</t>
  </si>
  <si>
    <t>ESK00532</t>
  </si>
  <si>
    <t>ESK00533</t>
  </si>
  <si>
    <t>ESK00534</t>
  </si>
  <si>
    <t>ESK00535</t>
  </si>
  <si>
    <t>ESK00536</t>
  </si>
  <si>
    <t>ESK00537</t>
  </si>
  <si>
    <t>ESK00538</t>
  </si>
  <si>
    <t>ESK00539</t>
  </si>
  <si>
    <t>ESK00540</t>
  </si>
  <si>
    <t>ESK00541</t>
  </si>
  <si>
    <t>ESK00542</t>
  </si>
  <si>
    <t>ESK00543</t>
  </si>
  <si>
    <t>ESK00544</t>
  </si>
  <si>
    <t>ESK00545</t>
  </si>
  <si>
    <t>ESK00546</t>
  </si>
  <si>
    <t>ESK00547</t>
  </si>
  <si>
    <t>ESK00548</t>
  </si>
  <si>
    <t>ESK00549</t>
  </si>
  <si>
    <t>ESK00550</t>
  </si>
  <si>
    <t>ESK00551</t>
  </si>
  <si>
    <t>ESK00552</t>
  </si>
  <si>
    <t>ESK00553</t>
  </si>
  <si>
    <t>ESK00554</t>
  </si>
  <si>
    <t>ESK00555</t>
  </si>
  <si>
    <t>ESK00556</t>
  </si>
  <si>
    <t>ESK00557</t>
  </si>
  <si>
    <t>ESK00558</t>
  </si>
  <si>
    <t>ESK00559</t>
  </si>
  <si>
    <t>ESK00560</t>
  </si>
  <si>
    <t>ESK00561</t>
  </si>
  <si>
    <t>ESK00562</t>
  </si>
  <si>
    <t>ESK00563</t>
  </si>
  <si>
    <t>ESK00564</t>
  </si>
  <si>
    <t>ESK00565</t>
  </si>
  <si>
    <t>ESK00566</t>
  </si>
  <si>
    <t>ESK00567</t>
  </si>
  <si>
    <t>ESK00568</t>
  </si>
  <si>
    <t>ESK00569</t>
  </si>
  <si>
    <t>ESK00570</t>
  </si>
  <si>
    <t>ESK00571</t>
  </si>
  <si>
    <t>ESK00572</t>
  </si>
  <si>
    <t>ESK00573</t>
  </si>
  <si>
    <t>ESK00574</t>
  </si>
  <si>
    <t>ESK00575</t>
  </si>
  <si>
    <t>ESK00576</t>
  </si>
  <si>
    <t>ESK00577</t>
  </si>
  <si>
    <t>ESK00578</t>
  </si>
  <si>
    <t>ESK00579</t>
  </si>
  <si>
    <t>ESK00580</t>
  </si>
  <si>
    <t>ESK00581</t>
  </si>
  <si>
    <t>ESK00582</t>
  </si>
  <si>
    <t>ESK00583</t>
  </si>
  <si>
    <t>ESK00584</t>
  </si>
  <si>
    <t>ESK00585</t>
  </si>
  <si>
    <t>ESK00586</t>
  </si>
  <si>
    <t>ESK00587</t>
  </si>
  <si>
    <t>ESK00588</t>
  </si>
  <si>
    <t>ESK00589</t>
  </si>
  <si>
    <t>ESK00590</t>
  </si>
  <si>
    <t>ESK00591</t>
  </si>
  <si>
    <t>ESK00592</t>
  </si>
  <si>
    <t>ESK00593</t>
  </si>
  <si>
    <t>ESK00594</t>
  </si>
  <si>
    <t>ESK00595</t>
  </si>
  <si>
    <t>ESK00596</t>
  </si>
  <si>
    <t>ESK00597</t>
  </si>
  <si>
    <t>ESK00598</t>
  </si>
  <si>
    <t>ESK00599</t>
  </si>
  <si>
    <t>ESK00600</t>
  </si>
  <si>
    <t>ESK00601</t>
  </si>
  <si>
    <t>ESK00602</t>
  </si>
  <si>
    <t>ESK00603</t>
  </si>
  <si>
    <t>ESK00604</t>
  </si>
  <si>
    <t>ESK00605</t>
  </si>
  <si>
    <t>ESK00606</t>
  </si>
  <si>
    <t>ESK00607</t>
  </si>
  <si>
    <t>ESK00608</t>
  </si>
  <si>
    <t>ESK00609</t>
  </si>
  <si>
    <t>ESK00610</t>
  </si>
  <si>
    <t>ESK00611</t>
  </si>
  <si>
    <t>ESK00612</t>
  </si>
  <si>
    <t>ESK00613</t>
  </si>
  <si>
    <t>ESK00614</t>
  </si>
  <si>
    <t>ESK00615</t>
  </si>
  <si>
    <t>ESK00616</t>
  </si>
  <si>
    <t>ESK00617</t>
  </si>
  <si>
    <t>ESK00618</t>
  </si>
  <si>
    <t>ESK00619</t>
  </si>
  <si>
    <t>ESK00620</t>
  </si>
  <si>
    <t>ESK00621</t>
  </si>
  <si>
    <t>ESK00622</t>
  </si>
  <si>
    <t>ESK00623</t>
  </si>
  <si>
    <t>ESK00624</t>
  </si>
  <si>
    <t>ESK00625</t>
  </si>
  <si>
    <t>ESK00626</t>
  </si>
  <si>
    <t>ESK00627</t>
  </si>
  <si>
    <t>ESK00628</t>
  </si>
  <si>
    <t>ESK00629</t>
  </si>
  <si>
    <t>ESK00630</t>
  </si>
  <si>
    <t>ESK00631</t>
  </si>
  <si>
    <t>ESK00632</t>
  </si>
  <si>
    <t>ESK00633</t>
  </si>
  <si>
    <t>ESK00634</t>
  </si>
  <si>
    <t>ESK00635</t>
  </si>
  <si>
    <t>ESK00636</t>
  </si>
  <si>
    <t>ESK00637</t>
  </si>
  <si>
    <t>ESK00638</t>
  </si>
  <si>
    <t>ESK00639</t>
  </si>
  <si>
    <t>ESK00640</t>
  </si>
  <si>
    <t>ESK00641</t>
  </si>
  <si>
    <t>ESK00642</t>
  </si>
  <si>
    <t>ESK00643</t>
  </si>
  <si>
    <t>ESK00644</t>
  </si>
  <si>
    <t>ESK00645</t>
  </si>
  <si>
    <t>ESK00646</t>
  </si>
  <si>
    <t>ESK00647</t>
  </si>
  <si>
    <t>ESK00648</t>
  </si>
  <si>
    <t>ESK00649</t>
  </si>
  <si>
    <t>ESK00650</t>
  </si>
  <si>
    <t>ESK00651</t>
  </si>
  <si>
    <t>ESK00652</t>
  </si>
  <si>
    <t>ESK00653</t>
  </si>
  <si>
    <t>ESK00654</t>
  </si>
  <si>
    <t>ESK00655</t>
  </si>
  <si>
    <t>ESK00656</t>
  </si>
  <si>
    <t>ESK00657</t>
  </si>
  <si>
    <t>ESK00658</t>
  </si>
  <si>
    <t>ESK00659</t>
  </si>
  <si>
    <t>ESK00660</t>
  </si>
  <si>
    <t>ESK00661</t>
  </si>
  <si>
    <t>ESK00662</t>
  </si>
  <si>
    <t>ESK00663</t>
  </si>
  <si>
    <t>ESK00664</t>
  </si>
  <si>
    <t>ESK00665</t>
  </si>
  <si>
    <t>ESK00666</t>
  </si>
  <si>
    <t>ESK00667</t>
  </si>
  <si>
    <t>ESK00668</t>
  </si>
  <si>
    <t>ESK00669</t>
  </si>
  <si>
    <t>ESK00670</t>
  </si>
  <si>
    <t>ESK00671</t>
  </si>
  <si>
    <t>ESK00672</t>
  </si>
  <si>
    <t>ESK00673</t>
  </si>
  <si>
    <t>ESK00674</t>
  </si>
  <si>
    <t>ESK00675</t>
  </si>
  <si>
    <t>ESK00676</t>
  </si>
  <si>
    <t>ESK00677</t>
  </si>
  <si>
    <t>ESK00678</t>
  </si>
  <si>
    <t>ESK00679</t>
  </si>
  <si>
    <t>ESK00680</t>
  </si>
  <si>
    <t>ESK00681</t>
  </si>
  <si>
    <t>ESK00682</t>
  </si>
  <si>
    <t>ESK00683</t>
  </si>
  <si>
    <t>ESK00684</t>
  </si>
  <si>
    <t>ESK00685</t>
  </si>
  <si>
    <t>ESK00686</t>
  </si>
  <si>
    <t>ESK00687</t>
  </si>
  <si>
    <t>ESK00688</t>
  </si>
  <si>
    <t>ESK00689</t>
  </si>
  <si>
    <t>ESK00690</t>
  </si>
  <si>
    <t>ESK00691</t>
  </si>
  <si>
    <t>ESK00692</t>
  </si>
  <si>
    <t>ESK00693</t>
  </si>
  <si>
    <t>ESK00694</t>
  </si>
  <si>
    <t>ESK00695</t>
  </si>
  <si>
    <t>ESK00696</t>
  </si>
  <si>
    <t>ESK00697</t>
  </si>
  <si>
    <t>ESK00698</t>
  </si>
  <si>
    <t>ESK00699</t>
  </si>
  <si>
    <t>ESK00700</t>
  </si>
  <si>
    <t>ESK00701</t>
  </si>
  <si>
    <t>ESK00702</t>
  </si>
  <si>
    <t>ESK00703</t>
  </si>
  <si>
    <t>ESK00704</t>
  </si>
  <si>
    <t>ESK00705</t>
  </si>
  <si>
    <t>ESK00706</t>
  </si>
  <si>
    <t>ESK00707</t>
  </si>
  <si>
    <t>ESK00708</t>
  </si>
  <si>
    <t>ESK00709</t>
  </si>
  <si>
    <t>ESK00710</t>
  </si>
  <si>
    <t>ESK00711</t>
  </si>
  <si>
    <t>ESK00712</t>
  </si>
  <si>
    <t>ESK00713</t>
  </si>
  <si>
    <t>ESK00714</t>
  </si>
  <si>
    <t>ESK00715</t>
  </si>
  <si>
    <t>ESK00716</t>
  </si>
  <si>
    <t>ESK00717</t>
  </si>
  <si>
    <t>ESK00718</t>
  </si>
  <si>
    <t>ESK00719</t>
  </si>
  <si>
    <t>ESK00720</t>
  </si>
  <si>
    <t>ESK00721</t>
  </si>
  <si>
    <t>ESK00722</t>
  </si>
  <si>
    <t>ESK00723</t>
  </si>
  <si>
    <t>ESK00724</t>
  </si>
  <si>
    <t>ESK00725</t>
  </si>
  <si>
    <t>ESK00726</t>
  </si>
  <si>
    <t>ESK00727</t>
  </si>
  <si>
    <t>ESK00728</t>
  </si>
  <si>
    <t>ESK00729</t>
  </si>
  <si>
    <t>ESK00730</t>
  </si>
  <si>
    <t>ESK00731</t>
  </si>
  <si>
    <t>ESK00732</t>
  </si>
  <si>
    <t>ESK00733</t>
  </si>
  <si>
    <t>ESK00734</t>
  </si>
  <si>
    <t>ESK00735</t>
  </si>
  <si>
    <t>ESK00736</t>
  </si>
  <si>
    <t>ESK00737</t>
  </si>
  <si>
    <t>ESK00738</t>
  </si>
  <si>
    <t>ESK00739</t>
  </si>
  <si>
    <t>ESK00740</t>
  </si>
  <si>
    <t>ESK00741</t>
  </si>
  <si>
    <t>ESK00742</t>
  </si>
  <si>
    <t>ESK00743</t>
  </si>
  <si>
    <t>ESK00744</t>
  </si>
  <si>
    <t>ESK00745</t>
  </si>
  <si>
    <t>ESK00746</t>
  </si>
  <si>
    <t>ESK00747</t>
  </si>
  <si>
    <t>ESK00748</t>
  </si>
  <si>
    <t>ESK00749</t>
  </si>
  <si>
    <t>ESK00750</t>
  </si>
  <si>
    <t>ESK00751</t>
  </si>
  <si>
    <t>ESK00752</t>
  </si>
  <si>
    <t>ESK00753</t>
  </si>
  <si>
    <t>ESK00754</t>
  </si>
  <si>
    <t>ESK00755</t>
  </si>
  <si>
    <t>ESK00756</t>
  </si>
  <si>
    <t>ESK00757</t>
  </si>
  <si>
    <t>ESK00758</t>
  </si>
  <si>
    <t>ESK00759</t>
  </si>
  <si>
    <t>ESK00760</t>
  </si>
  <si>
    <t>ESK00761</t>
  </si>
  <si>
    <t>ESK00762</t>
  </si>
  <si>
    <t>ESK00763</t>
  </si>
  <si>
    <t>ESK00764</t>
  </si>
  <si>
    <t>ESK00765</t>
  </si>
  <si>
    <t>ESK00766</t>
  </si>
  <si>
    <t>ESK00767</t>
  </si>
  <si>
    <t>ESK00768</t>
  </si>
  <si>
    <t>ESK00769</t>
  </si>
  <si>
    <t>ESK00770</t>
  </si>
  <si>
    <t>ESK00771</t>
  </si>
  <si>
    <t>ESK00772</t>
  </si>
  <si>
    <t>ESK00773</t>
  </si>
  <si>
    <t>ESK00774</t>
  </si>
  <si>
    <t>ESK00775</t>
  </si>
  <si>
    <t>ESK00776</t>
  </si>
  <si>
    <t>ESK00777</t>
  </si>
  <si>
    <t>ESK00778</t>
  </si>
  <si>
    <t>ESK00779</t>
  </si>
  <si>
    <t>ESK00780</t>
  </si>
  <si>
    <t>ESK00781</t>
  </si>
  <si>
    <t>ESK00782</t>
  </si>
  <si>
    <t>ESK00783</t>
  </si>
  <si>
    <t>ESK00784</t>
  </si>
  <si>
    <t>ESK00785</t>
  </si>
  <si>
    <t>ESK00786</t>
  </si>
  <si>
    <t>ESK00787</t>
  </si>
  <si>
    <t>ESK00788</t>
  </si>
  <si>
    <t>ESK00789</t>
  </si>
  <si>
    <t>ESK00790</t>
  </si>
  <si>
    <t>ESK00791</t>
  </si>
  <si>
    <t>ESK00792</t>
  </si>
  <si>
    <t>ESK00793</t>
  </si>
  <si>
    <t>ESK00794</t>
  </si>
  <si>
    <t>ESK00795</t>
  </si>
  <si>
    <t>ESK00796</t>
  </si>
  <si>
    <t>ESK00797</t>
  </si>
  <si>
    <t>ESK00798</t>
  </si>
  <si>
    <t>ESK00799</t>
  </si>
  <si>
    <t>ESK00800</t>
  </si>
  <si>
    <t>ESK00801</t>
  </si>
  <si>
    <t>ESK00802</t>
  </si>
  <si>
    <t>ESK00803</t>
  </si>
  <si>
    <t>ESK00804</t>
  </si>
  <si>
    <t>ESK00805</t>
  </si>
  <si>
    <t>ESK00806</t>
  </si>
  <si>
    <t>ESK00807</t>
  </si>
  <si>
    <t>ESK00808</t>
  </si>
  <si>
    <t>ESK00809</t>
  </si>
  <si>
    <t>ESK00810</t>
  </si>
  <si>
    <t>ESK00811</t>
  </si>
  <si>
    <t>ESK00812</t>
  </si>
  <si>
    <t>ESK00813</t>
  </si>
  <si>
    <t>ESK00814</t>
  </si>
  <si>
    <t>ESK00815</t>
  </si>
  <si>
    <t>ESK00816</t>
  </si>
  <si>
    <t>ESK00817</t>
  </si>
  <si>
    <t>ESK00818</t>
  </si>
  <si>
    <t>ESK00819</t>
  </si>
  <si>
    <t>ESK00820</t>
  </si>
  <si>
    <t>ESK00821</t>
  </si>
  <si>
    <t>ESK00822</t>
  </si>
  <si>
    <t>ESK00823</t>
  </si>
  <si>
    <t>ESK00824</t>
  </si>
  <si>
    <t>ESK00825</t>
  </si>
  <si>
    <t>ESK00826</t>
  </si>
  <si>
    <t>ESK00827</t>
  </si>
  <si>
    <t>ESK00828</t>
  </si>
  <si>
    <t>ESK00829</t>
  </si>
  <si>
    <t>ESK00830</t>
  </si>
  <si>
    <t>ESK00831</t>
  </si>
  <si>
    <t>ESK00832</t>
  </si>
  <si>
    <t>ESK00833</t>
  </si>
  <si>
    <t>ESK00834</t>
  </si>
  <si>
    <t>ESK00835</t>
  </si>
  <si>
    <t>ESK00836</t>
  </si>
  <si>
    <t>ESK00837</t>
  </si>
  <si>
    <t>ESK00838</t>
  </si>
  <si>
    <t>ESK00839</t>
  </si>
  <si>
    <t>ESK00840</t>
  </si>
  <si>
    <t>ESK00841</t>
  </si>
  <si>
    <t>ESK00842</t>
  </si>
  <si>
    <t>ESK00843</t>
  </si>
  <si>
    <t>ESK00844</t>
  </si>
  <si>
    <t>ESK00845</t>
  </si>
  <si>
    <t>ESK00846</t>
  </si>
  <si>
    <t>ESK00847</t>
  </si>
  <si>
    <t>ESK00848</t>
  </si>
  <si>
    <t>ESK00849</t>
  </si>
  <si>
    <t>ESK00850</t>
  </si>
  <si>
    <t>ESK00851</t>
  </si>
  <si>
    <t>ESK00852</t>
  </si>
  <si>
    <t>ESK00853</t>
  </si>
  <si>
    <t>ESK00854</t>
  </si>
  <si>
    <t>ESK00855</t>
  </si>
  <si>
    <t>ESK00856</t>
  </si>
  <si>
    <t>ESK00857</t>
  </si>
  <si>
    <t>ESK00858</t>
  </si>
  <si>
    <t>ESK00859</t>
  </si>
  <si>
    <t>ESK00860</t>
  </si>
  <si>
    <t>ESK00861</t>
  </si>
  <si>
    <t>ESK00862</t>
  </si>
  <si>
    <t>ESK00863</t>
  </si>
  <si>
    <t>ESK00864</t>
  </si>
  <si>
    <t>ESK00865</t>
  </si>
  <si>
    <t>ESK00866</t>
  </si>
  <si>
    <t>ESK00867</t>
  </si>
  <si>
    <t>ESK00868</t>
  </si>
  <si>
    <t>ESK00869</t>
  </si>
  <si>
    <t>ESK00870</t>
  </si>
  <si>
    <t>ESK00871</t>
  </si>
  <si>
    <t>ESK00872</t>
  </si>
  <si>
    <t>ESK00873</t>
  </si>
  <si>
    <t>ESK00874</t>
  </si>
  <si>
    <t>ESK00875</t>
  </si>
  <si>
    <t>ESK00876</t>
  </si>
  <si>
    <t>ESK00877</t>
  </si>
  <si>
    <t>ESK00878</t>
  </si>
  <si>
    <t>ESK00879</t>
  </si>
  <si>
    <t>ESK00880</t>
  </si>
  <si>
    <t>ESK00881</t>
  </si>
  <si>
    <t>ESK00882</t>
  </si>
  <si>
    <t>ESK00883</t>
  </si>
  <si>
    <t>ESK00884</t>
  </si>
  <si>
    <t>ESK00885</t>
  </si>
  <si>
    <t>ESK00886</t>
  </si>
  <si>
    <t>ESK00887</t>
  </si>
  <si>
    <t>ESK00888</t>
  </si>
  <si>
    <t>ESK00889</t>
  </si>
  <si>
    <t>ESK00890</t>
  </si>
  <si>
    <t>ESK00891</t>
  </si>
  <si>
    <t>ESK00892</t>
  </si>
  <si>
    <t>ESK00893</t>
  </si>
  <si>
    <t>ESK00894</t>
  </si>
  <si>
    <t>ESK00895</t>
  </si>
  <si>
    <t>ESK00896</t>
  </si>
  <si>
    <t>ESK00897</t>
  </si>
  <si>
    <t>ESK00898</t>
  </si>
  <si>
    <t>ESK00899</t>
  </si>
  <si>
    <t>ESK00900</t>
  </si>
  <si>
    <t>ESK00901</t>
  </si>
  <si>
    <t>ESK00902</t>
  </si>
  <si>
    <t>ESK00903</t>
  </si>
  <si>
    <t>ESK00904</t>
  </si>
  <si>
    <t>ESK00905</t>
  </si>
  <si>
    <t>ESK00906</t>
  </si>
  <si>
    <t>ESK00907</t>
  </si>
  <si>
    <t>ESK00908</t>
  </si>
  <si>
    <t>ESK00909</t>
  </si>
  <si>
    <t>ESK00910</t>
  </si>
  <si>
    <t>ESK00911</t>
  </si>
  <si>
    <t>ESK00912</t>
  </si>
  <si>
    <t>ESK00913</t>
  </si>
  <si>
    <t>ESK00914</t>
  </si>
  <si>
    <t>ESK00915</t>
  </si>
  <si>
    <t>ESK00916</t>
  </si>
  <si>
    <t>ESK00917</t>
  </si>
  <si>
    <t>ESK00918</t>
  </si>
  <si>
    <t>ESK00919</t>
  </si>
  <si>
    <t>ESK00920</t>
  </si>
  <si>
    <t>ESK00921</t>
  </si>
  <si>
    <t>ESK00922</t>
  </si>
  <si>
    <t>ESK00923</t>
  </si>
  <si>
    <t>ESK00924</t>
  </si>
  <si>
    <t>ESK00925</t>
  </si>
  <si>
    <t>ESK00926</t>
  </si>
  <si>
    <t>ESK00927</t>
  </si>
  <si>
    <t>ESK00928</t>
  </si>
  <si>
    <t>ESK00929</t>
  </si>
  <si>
    <t>ESK00930</t>
  </si>
  <si>
    <t>ESK00931</t>
  </si>
  <si>
    <t>ESK00932</t>
  </si>
  <si>
    <t>ESK00933</t>
  </si>
  <si>
    <t>ESK00934</t>
  </si>
  <si>
    <t>ESK00935</t>
  </si>
  <si>
    <t>Project_ID</t>
  </si>
  <si>
    <t>Project_Name</t>
  </si>
  <si>
    <t>Client_Name</t>
  </si>
  <si>
    <t>Project_Code</t>
  </si>
  <si>
    <t>Project_Type</t>
  </si>
  <si>
    <t>Start_Date</t>
  </si>
  <si>
    <t>Planned_End_Date</t>
  </si>
  <si>
    <t>Project_Value_INR</t>
  </si>
  <si>
    <t>Delivery_Office_ID</t>
  </si>
  <si>
    <t>Industry_Vertical</t>
  </si>
  <si>
    <t>PRJ001</t>
  </si>
  <si>
    <t>AI-Powered Credit Risk Engine</t>
  </si>
  <si>
    <t>HDFC Bank</t>
  </si>
  <si>
    <t>HDFC-2023-CR</t>
  </si>
  <si>
    <t>T&amp;M</t>
  </si>
  <si>
    <t>Banking &amp; Financial Services</t>
  </si>
  <si>
    <t>PRJ002</t>
  </si>
  <si>
    <t>Cloud Data Warehouse Migration</t>
  </si>
  <si>
    <t>Reliance Industries</t>
  </si>
  <si>
    <t>RIL-2023-CLD</t>
  </si>
  <si>
    <t>Fixed Price</t>
  </si>
  <si>
    <t>PRJ003</t>
  </si>
  <si>
    <t>Customer 360 Analytics Platform</t>
  </si>
  <si>
    <t>Flipkart</t>
  </si>
  <si>
    <t>FKT-2023-C360</t>
  </si>
  <si>
    <t>Retail</t>
  </si>
  <si>
    <t>PRJ004</t>
  </si>
  <si>
    <t>MLOps Platform Implementation</t>
  </si>
  <si>
    <t>Infosys BPM</t>
  </si>
  <si>
    <t>INF-2024-ML</t>
  </si>
  <si>
    <t>PRJ005</t>
  </si>
  <si>
    <t>Real-Time Fraud Detection System</t>
  </si>
  <si>
    <t>ICICI Bank</t>
  </si>
  <si>
    <t>ICI-2023-FRD</t>
  </si>
  <si>
    <t>PRJ006</t>
  </si>
  <si>
    <t>SAP S/4HANA Greenfield Impl.</t>
  </si>
  <si>
    <t>Tata Steel</t>
  </si>
  <si>
    <t>TTS-2023-SAP</t>
  </si>
  <si>
    <t>Manufacturing</t>
  </si>
  <si>
    <t>PRJ007</t>
  </si>
  <si>
    <t>Zero Trust Security Framework</t>
  </si>
  <si>
    <t>Wipro Ltd</t>
  </si>
  <si>
    <t>WIP-2024-SEC</t>
  </si>
  <si>
    <t>PRJ008</t>
  </si>
  <si>
    <t>Supply Chain Digital Twin</t>
  </si>
  <si>
    <t>Mahindra &amp; Mahindra</t>
  </si>
  <si>
    <t>MM-2023-SCM</t>
  </si>
  <si>
    <t>Automotive</t>
  </si>
  <si>
    <t>PRJ009</t>
  </si>
  <si>
    <t>Healthcare Data Lake</t>
  </si>
  <si>
    <t>Apollo Hospitals</t>
  </si>
  <si>
    <t>APL-2024-DL</t>
  </si>
  <si>
    <t>PRJ010</t>
  </si>
  <si>
    <t>E-commerce Recommendation Engine</t>
  </si>
  <si>
    <t>Meesho</t>
  </si>
  <si>
    <t>MSH-2024-REC</t>
  </si>
  <si>
    <t>PRJ011</t>
  </si>
  <si>
    <t>Intelligent Document Processing</t>
  </si>
  <si>
    <t>LIC of India</t>
  </si>
  <si>
    <t>LIC-2023-IDP</t>
  </si>
  <si>
    <t>Insurance</t>
  </si>
  <si>
    <t>PRJ012</t>
  </si>
  <si>
    <t>Azure Data Platform Modernization</t>
  </si>
  <si>
    <t>Bajaj Finance</t>
  </si>
  <si>
    <t>BJF-2024-AZ</t>
  </si>
  <si>
    <t>PRJ013</t>
  </si>
  <si>
    <t>GenAI Virtual Assistant</t>
  </si>
  <si>
    <t>Bharti Airtel</t>
  </si>
  <si>
    <t>AIR-2024-GA</t>
  </si>
  <si>
    <t>PRJ014</t>
  </si>
  <si>
    <t>Oracle ERP Cloud Migration</t>
  </si>
  <si>
    <t>Godrej Group</t>
  </si>
  <si>
    <t>GDR-2023-ORC</t>
  </si>
  <si>
    <t>Consumer Goods</t>
  </si>
  <si>
    <t>PRJ015</t>
  </si>
  <si>
    <t>Predictive Maintenance IoT Analytics</t>
  </si>
  <si>
    <t>NTPC Limited</t>
  </si>
  <si>
    <t>NTP-2024-IOT</t>
  </si>
  <si>
    <t>Assignment_ID</t>
  </si>
  <si>
    <t>Role_on_Project</t>
  </si>
  <si>
    <t>End_Date</t>
  </si>
  <si>
    <t>Allocation_Pct</t>
  </si>
  <si>
    <t>Billing_Rate_INR</t>
  </si>
  <si>
    <t>Total_Hours_Billed</t>
  </si>
  <si>
    <t>Is_Billable</t>
  </si>
  <si>
    <t>Perf_on_Project</t>
  </si>
  <si>
    <t>ASN0001</t>
  </si>
  <si>
    <t>Delivery Director</t>
  </si>
  <si>
    <t>Meets</t>
  </si>
  <si>
    <t>ASN0002</t>
  </si>
  <si>
    <t>Workstream Lead</t>
  </si>
  <si>
    <t>ASN0003</t>
  </si>
  <si>
    <t>Technical Manager</t>
  </si>
  <si>
    <t>Partially Meets</t>
  </si>
  <si>
    <t>ASN0004</t>
  </si>
  <si>
    <t>Module Lead</t>
  </si>
  <si>
    <t>ASN0005</t>
  </si>
  <si>
    <t>Sr Technical Lead</t>
  </si>
  <si>
    <t>ASN0006</t>
  </si>
  <si>
    <t>Sub-Module Lead</t>
  </si>
  <si>
    <t>ASN0007</t>
  </si>
  <si>
    <t>Technical Lead</t>
  </si>
  <si>
    <t>ASN0008</t>
  </si>
  <si>
    <t>Specialist Lead</t>
  </si>
  <si>
    <t>Exceeds</t>
  </si>
  <si>
    <t>ASN0009</t>
  </si>
  <si>
    <t>Sr ML Engineer</t>
  </si>
  <si>
    <t>ASN0010</t>
  </si>
  <si>
    <t>ASN0011</t>
  </si>
  <si>
    <t>Senior Developer</t>
  </si>
  <si>
    <t>ASN0012</t>
  </si>
  <si>
    <t>ML Engineer</t>
  </si>
  <si>
    <t>ASN0013</t>
  </si>
  <si>
    <t>ASN0014</t>
  </si>
  <si>
    <t>Data Engineer</t>
  </si>
  <si>
    <t>ASN0015</t>
  </si>
  <si>
    <t>Developer</t>
  </si>
  <si>
    <t>ASN0016</t>
  </si>
  <si>
    <t>Associate Engineer</t>
  </si>
  <si>
    <t>ASN0017</t>
  </si>
  <si>
    <t>ASN0018</t>
  </si>
  <si>
    <t>Junior Developer</t>
  </si>
  <si>
    <t>ASN0019</t>
  </si>
  <si>
    <t>ASN0020</t>
  </si>
  <si>
    <t>Engagement Lead</t>
  </si>
  <si>
    <t>ASN0021</t>
  </si>
  <si>
    <t>ASN0022</t>
  </si>
  <si>
    <t>ASN0023</t>
  </si>
  <si>
    <t>ASN0024</t>
  </si>
  <si>
    <t>ASN0025</t>
  </si>
  <si>
    <t>ASN0026</t>
  </si>
  <si>
    <t>ASN0027</t>
  </si>
  <si>
    <t>ASN0028</t>
  </si>
  <si>
    <t>ASN0029</t>
  </si>
  <si>
    <t>Sr Data Engineer</t>
  </si>
  <si>
    <t>ASN0030</t>
  </si>
  <si>
    <t>ASN0031</t>
  </si>
  <si>
    <t>ASN0032</t>
  </si>
  <si>
    <t>ASN0033</t>
  </si>
  <si>
    <t>ASN0034</t>
  </si>
  <si>
    <t>ASN0035</t>
  </si>
  <si>
    <t>ASN0036</t>
  </si>
  <si>
    <t>ASN0037</t>
  </si>
  <si>
    <t>ASN0038</t>
  </si>
  <si>
    <t>ASN0039</t>
  </si>
  <si>
    <t>ASN0040</t>
  </si>
  <si>
    <t>Project Manager</t>
  </si>
  <si>
    <t>ASN0041</t>
  </si>
  <si>
    <t>ASN0042</t>
  </si>
  <si>
    <t>ASN0043</t>
  </si>
  <si>
    <t>ASN0044</t>
  </si>
  <si>
    <t>ASN0045</t>
  </si>
  <si>
    <t>ASN0046</t>
  </si>
  <si>
    <t>ASN0047</t>
  </si>
  <si>
    <t>ASN0048</t>
  </si>
  <si>
    <t>ASN0049</t>
  </si>
  <si>
    <t>ASN0050</t>
  </si>
  <si>
    <t>ASN0051</t>
  </si>
  <si>
    <t>ASN0052</t>
  </si>
  <si>
    <t>ASN0053</t>
  </si>
  <si>
    <t>ASN0054</t>
  </si>
  <si>
    <t>ASN0055</t>
  </si>
  <si>
    <t>ASN0056</t>
  </si>
  <si>
    <t>ASN0057</t>
  </si>
  <si>
    <t>ASN0058</t>
  </si>
  <si>
    <t>ASN0059</t>
  </si>
  <si>
    <t>ASN0060</t>
  </si>
  <si>
    <t>ASN0061</t>
  </si>
  <si>
    <t>ASN0062</t>
  </si>
  <si>
    <t>ASN0063</t>
  </si>
  <si>
    <t>ASN0064</t>
  </si>
  <si>
    <t>ASN0065</t>
  </si>
  <si>
    <t>ASN0066</t>
  </si>
  <si>
    <t>ASN0067</t>
  </si>
  <si>
    <t>ASN0068</t>
  </si>
  <si>
    <t>ASN0069</t>
  </si>
  <si>
    <t>ASN0070</t>
  </si>
  <si>
    <t>ASN0071</t>
  </si>
  <si>
    <t>ASN0072</t>
  </si>
  <si>
    <t>ASN0073</t>
  </si>
  <si>
    <t>ASN0074</t>
  </si>
  <si>
    <t>ASN0075</t>
  </si>
  <si>
    <t>ASN0076</t>
  </si>
  <si>
    <t>ASN0077</t>
  </si>
  <si>
    <t>ASN0078</t>
  </si>
  <si>
    <t>ASN0079</t>
  </si>
  <si>
    <t>ASN0080</t>
  </si>
  <si>
    <t>ASN0081</t>
  </si>
  <si>
    <t>ASN0082</t>
  </si>
  <si>
    <t>ASN0083</t>
  </si>
  <si>
    <t>ASN0084</t>
  </si>
  <si>
    <t>ASN0085</t>
  </si>
  <si>
    <t>ASN0086</t>
  </si>
  <si>
    <t>ASN0087</t>
  </si>
  <si>
    <t>ASN0088</t>
  </si>
  <si>
    <t>ASN0089</t>
  </si>
  <si>
    <t>ASN0090</t>
  </si>
  <si>
    <t>ASN0091</t>
  </si>
  <si>
    <t>ASN0092</t>
  </si>
  <si>
    <t>ASN0093</t>
  </si>
  <si>
    <t>ASN0094</t>
  </si>
  <si>
    <t>ASN0095</t>
  </si>
  <si>
    <t>ASN0096</t>
  </si>
  <si>
    <t>ASN0097</t>
  </si>
  <si>
    <t>ASN0098</t>
  </si>
  <si>
    <t>ASN0099</t>
  </si>
  <si>
    <t>ASN0100</t>
  </si>
  <si>
    <t>ASN0101</t>
  </si>
  <si>
    <t>ASN0102</t>
  </si>
  <si>
    <t>ASN0103</t>
  </si>
  <si>
    <t>ASN0104</t>
  </si>
  <si>
    <t>ASN0105</t>
  </si>
  <si>
    <t>ASN0106</t>
  </si>
  <si>
    <t>ASN0107</t>
  </si>
  <si>
    <t>ASN0108</t>
  </si>
  <si>
    <t>ASN0109</t>
  </si>
  <si>
    <t>ASN0110</t>
  </si>
  <si>
    <t>ASN0111</t>
  </si>
  <si>
    <t>ASN0112</t>
  </si>
  <si>
    <t>ASN0113</t>
  </si>
  <si>
    <t>ASN0114</t>
  </si>
  <si>
    <t>ASN0115</t>
  </si>
  <si>
    <t>ASN0116</t>
  </si>
  <si>
    <t>ASN0117</t>
  </si>
  <si>
    <t>ASN0118</t>
  </si>
  <si>
    <t>ASN0119</t>
  </si>
  <si>
    <t>ASN0120</t>
  </si>
  <si>
    <t>ASN0121</t>
  </si>
  <si>
    <t>ASN0122</t>
  </si>
  <si>
    <t>ASN0123</t>
  </si>
  <si>
    <t>ASN0124</t>
  </si>
  <si>
    <t>ASN0125</t>
  </si>
  <si>
    <t>ASN0126</t>
  </si>
  <si>
    <t>ASN0127</t>
  </si>
  <si>
    <t>ASN0128</t>
  </si>
  <si>
    <t>ASN0129</t>
  </si>
  <si>
    <t>ASN0130</t>
  </si>
  <si>
    <t>ASN0131</t>
  </si>
  <si>
    <t>ASN0132</t>
  </si>
  <si>
    <t>ASN0133</t>
  </si>
  <si>
    <t>ASN0134</t>
  </si>
  <si>
    <t>ASN0135</t>
  </si>
  <si>
    <t>ASN0136</t>
  </si>
  <si>
    <t>ASN0137</t>
  </si>
  <si>
    <t>ASN0138</t>
  </si>
  <si>
    <t>ASN0139</t>
  </si>
  <si>
    <t>ASN0140</t>
  </si>
  <si>
    <t>ASN0141</t>
  </si>
  <si>
    <t>ASN0142</t>
  </si>
  <si>
    <t>ASN0143</t>
  </si>
  <si>
    <t>ASN0144</t>
  </si>
  <si>
    <t>ASN0145</t>
  </si>
  <si>
    <t>ASN0146</t>
  </si>
  <si>
    <t>ASN0147</t>
  </si>
  <si>
    <t>ASN0148</t>
  </si>
  <si>
    <t>ASN0149</t>
  </si>
  <si>
    <t>ASN0150</t>
  </si>
  <si>
    <t>ASN0151</t>
  </si>
  <si>
    <t>ASN0152</t>
  </si>
  <si>
    <t>ASN0153</t>
  </si>
  <si>
    <t>ASN0154</t>
  </si>
  <si>
    <t>ASN0155</t>
  </si>
  <si>
    <t>ASN0156</t>
  </si>
  <si>
    <t>ASN0157</t>
  </si>
  <si>
    <t>ASN0158</t>
  </si>
  <si>
    <t>ASN0159</t>
  </si>
  <si>
    <t>ASN0160</t>
  </si>
  <si>
    <t>ASN0161</t>
  </si>
  <si>
    <t>ASN0162</t>
  </si>
  <si>
    <t>ASN0163</t>
  </si>
  <si>
    <t>ASN0164</t>
  </si>
  <si>
    <t>ASN0165</t>
  </si>
  <si>
    <t>ASN0166</t>
  </si>
  <si>
    <t>ASN0167</t>
  </si>
  <si>
    <t>ASN0168</t>
  </si>
  <si>
    <t>ASN0169</t>
  </si>
  <si>
    <t>ASN0170</t>
  </si>
  <si>
    <t>ASN0171</t>
  </si>
  <si>
    <t>ASN0172</t>
  </si>
  <si>
    <t>ASN0173</t>
  </si>
  <si>
    <t>ASN0174</t>
  </si>
  <si>
    <t>ASN0175</t>
  </si>
  <si>
    <t>ASN0176</t>
  </si>
  <si>
    <t>ASN0177</t>
  </si>
  <si>
    <t>ASN0178</t>
  </si>
  <si>
    <t>ASN0179</t>
  </si>
  <si>
    <t>ASN0180</t>
  </si>
  <si>
    <t>ASN0181</t>
  </si>
  <si>
    <t>ASN0182</t>
  </si>
  <si>
    <t>ASN0183</t>
  </si>
  <si>
    <t>ASN0184</t>
  </si>
  <si>
    <t>ASN0185</t>
  </si>
  <si>
    <t>ASN0186</t>
  </si>
  <si>
    <t>ASN0187</t>
  </si>
  <si>
    <t>ASN0188</t>
  </si>
  <si>
    <t>ASN0189</t>
  </si>
  <si>
    <t>ASN0190</t>
  </si>
  <si>
    <t>ASN0191</t>
  </si>
  <si>
    <t>ASN0192</t>
  </si>
  <si>
    <t>ASN0193</t>
  </si>
  <si>
    <t>ASN0194</t>
  </si>
  <si>
    <t>ASN0195</t>
  </si>
  <si>
    <t>ASN0196</t>
  </si>
  <si>
    <t>ASN0197</t>
  </si>
  <si>
    <t>ASN0198</t>
  </si>
  <si>
    <t>ASN0199</t>
  </si>
  <si>
    <t>ASN0200</t>
  </si>
  <si>
    <t>ASN0201</t>
  </si>
  <si>
    <t>ASN0202</t>
  </si>
  <si>
    <t>ASN0203</t>
  </si>
  <si>
    <t>ASN0204</t>
  </si>
  <si>
    <t>ASN0205</t>
  </si>
  <si>
    <t>ASN0206</t>
  </si>
  <si>
    <t>ASN0207</t>
  </si>
  <si>
    <t>ASN0208</t>
  </si>
  <si>
    <t>ASN0209</t>
  </si>
  <si>
    <t>ASN0210</t>
  </si>
  <si>
    <t>ASN0211</t>
  </si>
  <si>
    <t>ASN0212</t>
  </si>
  <si>
    <t>ASN0213</t>
  </si>
  <si>
    <t>ASN0214</t>
  </si>
  <si>
    <t>ASN0215</t>
  </si>
  <si>
    <t>ASN0216</t>
  </si>
  <si>
    <t>ASN0217</t>
  </si>
  <si>
    <t>ASN0218</t>
  </si>
  <si>
    <t>ASN0219</t>
  </si>
  <si>
    <t>ASN0220</t>
  </si>
  <si>
    <t>ASN0221</t>
  </si>
  <si>
    <t>ASN0222</t>
  </si>
  <si>
    <t>ASN0223</t>
  </si>
  <si>
    <t>ASN0224</t>
  </si>
  <si>
    <t>ASN0225</t>
  </si>
  <si>
    <t>ASN0226</t>
  </si>
  <si>
    <t>ASN0227</t>
  </si>
  <si>
    <t>ASN0228</t>
  </si>
  <si>
    <t>ASN0229</t>
  </si>
  <si>
    <t>ASN0230</t>
  </si>
  <si>
    <t>ASN0231</t>
  </si>
  <si>
    <t>ASN0232</t>
  </si>
  <si>
    <t>ASN0233</t>
  </si>
  <si>
    <t>ASN0234</t>
  </si>
  <si>
    <t>ASN0235</t>
  </si>
  <si>
    <t>ASN0236</t>
  </si>
  <si>
    <t>ASN0237</t>
  </si>
  <si>
    <t>ASN0238</t>
  </si>
  <si>
    <t>ASN0239</t>
  </si>
  <si>
    <t>ASN0240</t>
  </si>
  <si>
    <t>ASN0241</t>
  </si>
  <si>
    <t>ASN0242</t>
  </si>
  <si>
    <t>ASN0243</t>
  </si>
  <si>
    <t>ASN0244</t>
  </si>
  <si>
    <t>ASN0245</t>
  </si>
  <si>
    <t>ASN0246</t>
  </si>
  <si>
    <t>ASN0247</t>
  </si>
  <si>
    <t>ASN0248</t>
  </si>
  <si>
    <t>ASN0249</t>
  </si>
  <si>
    <t>ASN0250</t>
  </si>
  <si>
    <t>ASN0251</t>
  </si>
  <si>
    <t>ASN0252</t>
  </si>
  <si>
    <t>ASN0253</t>
  </si>
  <si>
    <t>ASN0254</t>
  </si>
  <si>
    <t>ASN0255</t>
  </si>
  <si>
    <t>ASN0256</t>
  </si>
  <si>
    <t>ASN0257</t>
  </si>
  <si>
    <t>ASN0258</t>
  </si>
  <si>
    <t>ASN0259</t>
  </si>
  <si>
    <t>ASN0260</t>
  </si>
  <si>
    <t>ASN0261</t>
  </si>
  <si>
    <t>ASN0262</t>
  </si>
  <si>
    <t>ASN0263</t>
  </si>
  <si>
    <t>ASN0264</t>
  </si>
  <si>
    <t>ASN0265</t>
  </si>
  <si>
    <t>ASN0266</t>
  </si>
  <si>
    <t>ASN0267</t>
  </si>
  <si>
    <t>ASN0268</t>
  </si>
  <si>
    <t>ASN0269</t>
  </si>
  <si>
    <t>ASN0270</t>
  </si>
  <si>
    <t>ASN0271</t>
  </si>
  <si>
    <t>ASN0272</t>
  </si>
  <si>
    <t>ASN0273</t>
  </si>
  <si>
    <t>ASN0274</t>
  </si>
  <si>
    <t>ASN0275</t>
  </si>
  <si>
    <t>ASN0276</t>
  </si>
  <si>
    <t>ASN0277</t>
  </si>
  <si>
    <t>ASN0278</t>
  </si>
  <si>
    <t>ASN0279</t>
  </si>
  <si>
    <t>ASN0280</t>
  </si>
  <si>
    <t>ASN0281</t>
  </si>
  <si>
    <t>ASN0282</t>
  </si>
  <si>
    <t>ASN0283</t>
  </si>
  <si>
    <t>ASN0284</t>
  </si>
  <si>
    <t>ASN0285</t>
  </si>
  <si>
    <t>Importance_Level</t>
  </si>
  <si>
    <t>PSK0001</t>
  </si>
  <si>
    <t>Core</t>
  </si>
  <si>
    <t>PSK0002</t>
  </si>
  <si>
    <t>PSK0003</t>
  </si>
  <si>
    <t>PSK0004</t>
  </si>
  <si>
    <t>PSK0005</t>
  </si>
  <si>
    <t>Required</t>
  </si>
  <si>
    <t>PSK0006</t>
  </si>
  <si>
    <t>PSK0007</t>
  </si>
  <si>
    <t>PSK0008</t>
  </si>
  <si>
    <t>PSK0009</t>
  </si>
  <si>
    <t>PSK0010</t>
  </si>
  <si>
    <t>PSK0011</t>
  </si>
  <si>
    <t>PSK0012</t>
  </si>
  <si>
    <t>PSK0013</t>
  </si>
  <si>
    <t>PSK0014</t>
  </si>
  <si>
    <t>PSK0015</t>
  </si>
  <si>
    <t>PSK0016</t>
  </si>
  <si>
    <t>PSK0017</t>
  </si>
  <si>
    <t>PSK0018</t>
  </si>
  <si>
    <t>Nice-to-have</t>
  </si>
  <si>
    <t>PSK0019</t>
  </si>
  <si>
    <t>PSK0020</t>
  </si>
  <si>
    <t>PSK0021</t>
  </si>
  <si>
    <t>PSK0022</t>
  </si>
  <si>
    <t>PSK0023</t>
  </si>
  <si>
    <t>PSK0024</t>
  </si>
  <si>
    <t>PSK0025</t>
  </si>
  <si>
    <t>PSK0026</t>
  </si>
  <si>
    <t>PSK0027</t>
  </si>
  <si>
    <t>PSK0028</t>
  </si>
  <si>
    <t>PSK0029</t>
  </si>
  <si>
    <t>PSK0030</t>
  </si>
  <si>
    <t>PSK0031</t>
  </si>
  <si>
    <t>PSK0032</t>
  </si>
  <si>
    <t>PSK0033</t>
  </si>
  <si>
    <t>PSK0034</t>
  </si>
  <si>
    <t>PSK0035</t>
  </si>
  <si>
    <t>PSK0036</t>
  </si>
  <si>
    <t>PSK0037</t>
  </si>
  <si>
    <t>PSK0038</t>
  </si>
  <si>
    <t>PSK0039</t>
  </si>
  <si>
    <t>PSK0040</t>
  </si>
  <si>
    <t>PSK0041</t>
  </si>
  <si>
    <t>PSK0042</t>
  </si>
  <si>
    <t>PSK0043</t>
  </si>
  <si>
    <t>PSK0044</t>
  </si>
  <si>
    <t>PSK0045</t>
  </si>
  <si>
    <t>PSK0046</t>
  </si>
  <si>
    <t>PSK0047</t>
  </si>
  <si>
    <t>PSK0048</t>
  </si>
  <si>
    <t>PSK0049</t>
  </si>
  <si>
    <t>PSK0050</t>
  </si>
  <si>
    <t>PSK0051</t>
  </si>
  <si>
    <t>PSK0052</t>
  </si>
  <si>
    <t>PSK0053</t>
  </si>
  <si>
    <t>PSK0054</t>
  </si>
  <si>
    <t>PSK0055</t>
  </si>
  <si>
    <t>PSK0056</t>
  </si>
  <si>
    <t>PSK0057</t>
  </si>
  <si>
    <t>PSK0058</t>
  </si>
  <si>
    <t>PSK0059</t>
  </si>
  <si>
    <t>PSK0060</t>
  </si>
  <si>
    <t>PSK0061</t>
  </si>
  <si>
    <t>PSK0062</t>
  </si>
  <si>
    <t>PSK0063</t>
  </si>
  <si>
    <t>PSK0064</t>
  </si>
  <si>
    <t>PSK0065</t>
  </si>
  <si>
    <t>PSK0066</t>
  </si>
  <si>
    <t>PSK0067</t>
  </si>
  <si>
    <t>PSK0068</t>
  </si>
  <si>
    <t>PSK0069</t>
  </si>
  <si>
    <t>PSK0070</t>
  </si>
  <si>
    <t>PSK0071</t>
  </si>
  <si>
    <t>PSK0072</t>
  </si>
  <si>
    <t>PSK0073</t>
  </si>
  <si>
    <t>PSK0074</t>
  </si>
  <si>
    <t>PSK0075</t>
  </si>
  <si>
    <t>PSK0076</t>
  </si>
  <si>
    <t>Cert_ID</t>
  </si>
  <si>
    <t>Certification_Name</t>
  </si>
  <si>
    <t>Issuing_Body</t>
  </si>
  <si>
    <t>Related_Skill_ID</t>
  </si>
  <si>
    <t>Issue_Date</t>
  </si>
  <si>
    <t>Expiry_Date</t>
  </si>
  <si>
    <t>Certificate_No</t>
  </si>
  <si>
    <t>CRT0001</t>
  </si>
  <si>
    <t>Certified Kubernetes Administrator (CKA)</t>
  </si>
  <si>
    <t>CNCF</t>
  </si>
  <si>
    <t>CERT-302432</t>
  </si>
  <si>
    <t>CRT0002</t>
  </si>
  <si>
    <t>Certified Scrum Master (CSM)</t>
  </si>
  <si>
    <t>Scrum Alliance</t>
  </si>
  <si>
    <t>CERT-207892</t>
  </si>
  <si>
    <t>CRT0003</t>
  </si>
  <si>
    <t>Google Professional Data Engineer</t>
  </si>
  <si>
    <t>Google</t>
  </si>
  <si>
    <t>CERT-273699</t>
  </si>
  <si>
    <t>CRT0004</t>
  </si>
  <si>
    <t>CERT-567830</t>
  </si>
  <si>
    <t>CRT0005</t>
  </si>
  <si>
    <t>Snowflake SnowPro Core</t>
  </si>
  <si>
    <t>CERT-725297</t>
  </si>
  <si>
    <t>CRT0006</t>
  </si>
  <si>
    <t>Power BI Data Analyst Associate (PL-300)</t>
  </si>
  <si>
    <t>Microsoft</t>
  </si>
  <si>
    <t>CERT-753169</t>
  </si>
  <si>
    <t>CRT0007</t>
  </si>
  <si>
    <t>CERT-275373</t>
  </si>
  <si>
    <t>CRT0008</t>
  </si>
  <si>
    <t>AWS Certified Data Engineer</t>
  </si>
  <si>
    <t>Amazon Web Services</t>
  </si>
  <si>
    <t>Expired</t>
  </si>
  <si>
    <t>CERT-636196</t>
  </si>
  <si>
    <t>CRT0009</t>
  </si>
  <si>
    <t>HashiCorp Terraform Associate</t>
  </si>
  <si>
    <t>HashiCorp</t>
  </si>
  <si>
    <t>CERT-469364</t>
  </si>
  <si>
    <t>CRT0010</t>
  </si>
  <si>
    <t>Databricks Associate Developer for Spark</t>
  </si>
  <si>
    <t>CERT-475122</t>
  </si>
  <si>
    <t>CRT0011</t>
  </si>
  <si>
    <t>Tableau Desktop Specialist</t>
  </si>
  <si>
    <t>Salesforce/Tableau</t>
  </si>
  <si>
    <t>CERT-176168</t>
  </si>
  <si>
    <t>CRT0012</t>
  </si>
  <si>
    <t>CERT-324156</t>
  </si>
  <si>
    <t>CRT0013</t>
  </si>
  <si>
    <t>CERT-343949</t>
  </si>
  <si>
    <t>CRT0014</t>
  </si>
  <si>
    <t>CERT-731035</t>
  </si>
  <si>
    <t>CRT0015</t>
  </si>
  <si>
    <t>CERT-701828</t>
  </si>
  <si>
    <t>CRT0016</t>
  </si>
  <si>
    <t>CERT-433219</t>
  </si>
  <si>
    <t>CRT0017</t>
  </si>
  <si>
    <t>PMP – Project Management Professional</t>
  </si>
  <si>
    <t>PMI</t>
  </si>
  <si>
    <t>CERT-307775</t>
  </si>
  <si>
    <t>CRT0018</t>
  </si>
  <si>
    <t>CERT-541699</t>
  </si>
  <si>
    <t>CRT0019</t>
  </si>
  <si>
    <t>AWS Certified Solutions Architect</t>
  </si>
  <si>
    <t>CERT-230120</t>
  </si>
  <si>
    <t>CRT0020</t>
  </si>
  <si>
    <t>CERT-719887</t>
  </si>
  <si>
    <t>CRT0021</t>
  </si>
  <si>
    <t>CERT-774933</t>
  </si>
  <si>
    <t>CRT0022</t>
  </si>
  <si>
    <t>CERT-398179</t>
  </si>
  <si>
    <t>CRT0023</t>
  </si>
  <si>
    <t>CERT-982526</t>
  </si>
  <si>
    <t>CRT0024</t>
  </si>
  <si>
    <t>CERT-453778</t>
  </si>
  <si>
    <t>CRT0025</t>
  </si>
  <si>
    <t>CERT-172827</t>
  </si>
  <si>
    <t>CRT0026</t>
  </si>
  <si>
    <t>CERT-199740</t>
  </si>
  <si>
    <t>CRT0027</t>
  </si>
  <si>
    <t>CERT-388016</t>
  </si>
  <si>
    <t>CRT0028</t>
  </si>
  <si>
    <t>CERT-890303</t>
  </si>
  <si>
    <t>CRT0029</t>
  </si>
  <si>
    <t>CERT-512433</t>
  </si>
  <si>
    <t>CRT0030</t>
  </si>
  <si>
    <t>CERT-830288</t>
  </si>
  <si>
    <t>CRT0031</t>
  </si>
  <si>
    <t>CERT-747995</t>
  </si>
  <si>
    <t>CRT0032</t>
  </si>
  <si>
    <t>CERT-130710</t>
  </si>
  <si>
    <t>CRT0033</t>
  </si>
  <si>
    <t>CERT-150157</t>
  </si>
  <si>
    <t>CRT0034</t>
  </si>
  <si>
    <t>Azure Data Engineer Associate (DP-203)</t>
  </si>
  <si>
    <t>CERT-820999</t>
  </si>
  <si>
    <t>CRT0035</t>
  </si>
  <si>
    <t>CERT-337336</t>
  </si>
  <si>
    <t>CRT0036</t>
  </si>
  <si>
    <t>Google Professional ML Engineer</t>
  </si>
  <si>
    <t>CERT-372302</t>
  </si>
  <si>
    <t>CRT0037</t>
  </si>
  <si>
    <t>CERT-216185</t>
  </si>
  <si>
    <t>CRT0038</t>
  </si>
  <si>
    <t>CERT-419071</t>
  </si>
  <si>
    <t>CRT0039</t>
  </si>
  <si>
    <t>CERT-383023</t>
  </si>
  <si>
    <t>CRT0040</t>
  </si>
  <si>
    <t>CERT-225725</t>
  </si>
  <si>
    <t>CRT0041</t>
  </si>
  <si>
    <t>CERT-767841</t>
  </si>
  <si>
    <t>CRT0042</t>
  </si>
  <si>
    <t>CERT-800695</t>
  </si>
  <si>
    <t>CRT0043</t>
  </si>
  <si>
    <t>CERT-793390</t>
  </si>
  <si>
    <t>CRT0044</t>
  </si>
  <si>
    <t>CERT-910175</t>
  </si>
  <si>
    <t>CRT0045</t>
  </si>
  <si>
    <t>Azure AI Engineer Associate (AI-102)</t>
  </si>
  <si>
    <t>CERT-376626</t>
  </si>
  <si>
    <t>CRT0046</t>
  </si>
  <si>
    <t>CERT-685645</t>
  </si>
  <si>
    <t>CRT0047</t>
  </si>
  <si>
    <t>CERT-791515</t>
  </si>
  <si>
    <t>CRT0048</t>
  </si>
  <si>
    <t>CERT-828723</t>
  </si>
  <si>
    <t>CRT0049</t>
  </si>
  <si>
    <t>CERT-590891</t>
  </si>
  <si>
    <t>CRT0050</t>
  </si>
  <si>
    <t>CERT-297045</t>
  </si>
  <si>
    <t>CRT0051</t>
  </si>
  <si>
    <t>CERT-209612</t>
  </si>
  <si>
    <t>CRT0052</t>
  </si>
  <si>
    <t>CERT-428580</t>
  </si>
  <si>
    <t>CRT0053</t>
  </si>
  <si>
    <t>CERT-842929</t>
  </si>
  <si>
    <t>CRT0054</t>
  </si>
  <si>
    <t>CERT-210793</t>
  </si>
  <si>
    <t>CRT0055</t>
  </si>
  <si>
    <t>CERT-750618</t>
  </si>
  <si>
    <t>CRT0056</t>
  </si>
  <si>
    <t>CERT-312882</t>
  </si>
  <si>
    <t>CRT0057</t>
  </si>
  <si>
    <t>CERT-297083</t>
  </si>
  <si>
    <t>CRT0058</t>
  </si>
  <si>
    <t>CERT-705282</t>
  </si>
  <si>
    <t>CRT0059</t>
  </si>
  <si>
    <t>CERT-212379</t>
  </si>
  <si>
    <t>CRT0060</t>
  </si>
  <si>
    <t>CERT-583232</t>
  </si>
  <si>
    <t>CRT0061</t>
  </si>
  <si>
    <t>CERT-322367</t>
  </si>
  <si>
    <t>CRT0062</t>
  </si>
  <si>
    <t>CERT-516209</t>
  </si>
  <si>
    <t>CRT0063</t>
  </si>
  <si>
    <t>CERT-303352</t>
  </si>
  <si>
    <t>CRT0064</t>
  </si>
  <si>
    <t>CERT-220783</t>
  </si>
  <si>
    <t>CRT0065</t>
  </si>
  <si>
    <t>CERT-206225</t>
  </si>
  <si>
    <t>CRT0066</t>
  </si>
  <si>
    <t>CERT-619225</t>
  </si>
  <si>
    <t>CRT0067</t>
  </si>
  <si>
    <t>CERT-840140</t>
  </si>
  <si>
    <t>CRT0068</t>
  </si>
  <si>
    <t>CERT-627685</t>
  </si>
  <si>
    <t>CRT0069</t>
  </si>
  <si>
    <t>CERT-993978</t>
  </si>
  <si>
    <t>CRT0070</t>
  </si>
  <si>
    <t>CERT-548709</t>
  </si>
  <si>
    <t>CRT0071</t>
  </si>
  <si>
    <t>CERT-121838</t>
  </si>
  <si>
    <t>CRT0072</t>
  </si>
  <si>
    <t>CERT-722859</t>
  </si>
  <si>
    <t>CRT0073</t>
  </si>
  <si>
    <t>CERT-147371</t>
  </si>
  <si>
    <t>CRT0074</t>
  </si>
  <si>
    <t>CERT-650784</t>
  </si>
  <si>
    <t>CRT0075</t>
  </si>
  <si>
    <t>CERT-204849</t>
  </si>
  <si>
    <t>CRT0076</t>
  </si>
  <si>
    <t>CERT-870509</t>
  </si>
  <si>
    <t>CRT0077</t>
  </si>
  <si>
    <t>CERT-642985</t>
  </si>
  <si>
    <t>CRT0078</t>
  </si>
  <si>
    <t>CERT-218238</t>
  </si>
  <si>
    <t>CRT0079</t>
  </si>
  <si>
    <t>CERT-476879</t>
  </si>
  <si>
    <t>CRT0080</t>
  </si>
  <si>
    <t>CERT-812052</t>
  </si>
  <si>
    <t>CRT0081</t>
  </si>
  <si>
    <t>CERT-447283</t>
  </si>
  <si>
    <t>CRT0082</t>
  </si>
  <si>
    <t>CERT-694188</t>
  </si>
  <si>
    <t>CRT0083</t>
  </si>
  <si>
    <t>CERT-108739</t>
  </si>
  <si>
    <t>CRT0084</t>
  </si>
  <si>
    <t>CERT-648600</t>
  </si>
  <si>
    <t>CRT0085</t>
  </si>
  <si>
    <t>CERT-418395</t>
  </si>
  <si>
    <t>CRT0086</t>
  </si>
  <si>
    <t>CERT-612089</t>
  </si>
  <si>
    <t>CRT0087</t>
  </si>
  <si>
    <t>CERT-190181</t>
  </si>
  <si>
    <t>CRT0088</t>
  </si>
  <si>
    <t>CERT-543089</t>
  </si>
  <si>
    <t>CRT0089</t>
  </si>
  <si>
    <t>CERT-202905</t>
  </si>
  <si>
    <t>CRT0090</t>
  </si>
  <si>
    <t>CERT-691299</t>
  </si>
  <si>
    <t>CRT0091</t>
  </si>
  <si>
    <t>CERT-811902</t>
  </si>
  <si>
    <t>CRT0092</t>
  </si>
  <si>
    <t>CERT-362165</t>
  </si>
  <si>
    <t>CRT0093</t>
  </si>
  <si>
    <t>CERT-189755</t>
  </si>
  <si>
    <t>CRT0094</t>
  </si>
  <si>
    <t>CERT-494228</t>
  </si>
  <si>
    <t>CRT0095</t>
  </si>
  <si>
    <t>CERT-200707</t>
  </si>
  <si>
    <t>CRT0096</t>
  </si>
  <si>
    <t>CERT-471399</t>
  </si>
  <si>
    <t>CRT0097</t>
  </si>
  <si>
    <t>CERT-589215</t>
  </si>
  <si>
    <t>CRT0098</t>
  </si>
  <si>
    <t>CERT-192724</t>
  </si>
  <si>
    <t>CRT0099</t>
  </si>
  <si>
    <t>CERT-708512</t>
  </si>
  <si>
    <t>CRT0100</t>
  </si>
  <si>
    <t>CERT-892026</t>
  </si>
  <si>
    <t>CRT0101</t>
  </si>
  <si>
    <t>CERT-961866</t>
  </si>
  <si>
    <t>CRT0102</t>
  </si>
  <si>
    <t>CERT-692910</t>
  </si>
  <si>
    <t>CRT0103</t>
  </si>
  <si>
    <t>CERT-875278</t>
  </si>
  <si>
    <t>CRT0104</t>
  </si>
  <si>
    <t>CERT-689351</t>
  </si>
  <si>
    <t>CRT0105</t>
  </si>
  <si>
    <t>CERT-415508</t>
  </si>
  <si>
    <t>CRT0106</t>
  </si>
  <si>
    <t>CERT-753959</t>
  </si>
  <si>
    <t>CRT0107</t>
  </si>
  <si>
    <t>CERT-201568</t>
  </si>
  <si>
    <t>Review_ID</t>
  </si>
  <si>
    <t>Review_Year</t>
  </si>
  <si>
    <t>Review_Period</t>
  </si>
  <si>
    <t>Overall_Rating</t>
  </si>
  <si>
    <t>Goals_Score_5</t>
  </si>
  <si>
    <t>Competency_5</t>
  </si>
  <si>
    <t>Weighted_Avg_5</t>
  </si>
  <si>
    <t>Reviewer_ID</t>
  </si>
  <si>
    <t>Promotion_Eligible</t>
  </si>
  <si>
    <t>Increment_Pct</t>
  </si>
  <si>
    <t>Bonus_Pct</t>
  </si>
  <si>
    <t>Review_Date</t>
  </si>
  <si>
    <t>REV00001</t>
  </si>
  <si>
    <t>Annual</t>
  </si>
  <si>
    <t>Exceeds Expectations</t>
  </si>
  <si>
    <t>REV00002</t>
  </si>
  <si>
    <t>Meets Expectations</t>
  </si>
  <si>
    <t>REV00003</t>
  </si>
  <si>
    <t>REV00004</t>
  </si>
  <si>
    <t>REV00005</t>
  </si>
  <si>
    <t>REV00006</t>
  </si>
  <si>
    <t>REV00007</t>
  </si>
  <si>
    <t>REV00008</t>
  </si>
  <si>
    <t>REV00009</t>
  </si>
  <si>
    <t>REV00010</t>
  </si>
  <si>
    <t>REV00011</t>
  </si>
  <si>
    <t>REV00012</t>
  </si>
  <si>
    <t>REV00013</t>
  </si>
  <si>
    <t>REV00014</t>
  </si>
  <si>
    <t>REV00015</t>
  </si>
  <si>
    <t>REV00016</t>
  </si>
  <si>
    <t>REV00017</t>
  </si>
  <si>
    <t>REV00018</t>
  </si>
  <si>
    <t>REV00019</t>
  </si>
  <si>
    <t>REV00020</t>
  </si>
  <si>
    <t>REV00021</t>
  </si>
  <si>
    <t>REV00022</t>
  </si>
  <si>
    <t>REV00023</t>
  </si>
  <si>
    <t>REV00024</t>
  </si>
  <si>
    <t>REV00025</t>
  </si>
  <si>
    <t>REV00026</t>
  </si>
  <si>
    <t>REV00027</t>
  </si>
  <si>
    <t>REV00028</t>
  </si>
  <si>
    <t>REV00029</t>
  </si>
  <si>
    <t>REV00030</t>
  </si>
  <si>
    <t>REV00031</t>
  </si>
  <si>
    <t>REV00032</t>
  </si>
  <si>
    <t>REV00033</t>
  </si>
  <si>
    <t>REV00034</t>
  </si>
  <si>
    <t>REV00035</t>
  </si>
  <si>
    <t>REV00036</t>
  </si>
  <si>
    <t>REV00037</t>
  </si>
  <si>
    <t>REV00038</t>
  </si>
  <si>
    <t>REV00039</t>
  </si>
  <si>
    <t>REV00040</t>
  </si>
  <si>
    <t>REV00041</t>
  </si>
  <si>
    <t>REV00042</t>
  </si>
  <si>
    <t>REV00043</t>
  </si>
  <si>
    <t>REV00044</t>
  </si>
  <si>
    <t>REV00045</t>
  </si>
  <si>
    <t>REV00046</t>
  </si>
  <si>
    <t>REV00047</t>
  </si>
  <si>
    <t>REV00048</t>
  </si>
  <si>
    <t>REV00049</t>
  </si>
  <si>
    <t>REV00050</t>
  </si>
  <si>
    <t>REV00051</t>
  </si>
  <si>
    <t>REV00052</t>
  </si>
  <si>
    <t>REV00053</t>
  </si>
  <si>
    <t>REV00054</t>
  </si>
  <si>
    <t>REV00055</t>
  </si>
  <si>
    <t>REV00056</t>
  </si>
  <si>
    <t>REV00057</t>
  </si>
  <si>
    <t>REV00058</t>
  </si>
  <si>
    <t>REV00059</t>
  </si>
  <si>
    <t>REV00060</t>
  </si>
  <si>
    <t>REV00061</t>
  </si>
  <si>
    <t>REV00062</t>
  </si>
  <si>
    <t>REV00063</t>
  </si>
  <si>
    <t>REV00064</t>
  </si>
  <si>
    <t>REV00065</t>
  </si>
  <si>
    <t>Does Not Meet</t>
  </si>
  <si>
    <t>REV00066</t>
  </si>
  <si>
    <t>REV00067</t>
  </si>
  <si>
    <t>REV00068</t>
  </si>
  <si>
    <t>REV00069</t>
  </si>
  <si>
    <t>REV00070</t>
  </si>
  <si>
    <t>REV00071</t>
  </si>
  <si>
    <t>REV00072</t>
  </si>
  <si>
    <t>REV00073</t>
  </si>
  <si>
    <t>REV00074</t>
  </si>
  <si>
    <t>REV00075</t>
  </si>
  <si>
    <t>REV00076</t>
  </si>
  <si>
    <t>REV00077</t>
  </si>
  <si>
    <t>REV00078</t>
  </si>
  <si>
    <t>REV00079</t>
  </si>
  <si>
    <t>REV00080</t>
  </si>
  <si>
    <t>REV00081</t>
  </si>
  <si>
    <t>REV00082</t>
  </si>
  <si>
    <t>REV00083</t>
  </si>
  <si>
    <t>REV00084</t>
  </si>
  <si>
    <t>REV00085</t>
  </si>
  <si>
    <t>REV00086</t>
  </si>
  <si>
    <t>REV00087</t>
  </si>
  <si>
    <t>REV00088</t>
  </si>
  <si>
    <t>REV00089</t>
  </si>
  <si>
    <t>REV00090</t>
  </si>
  <si>
    <t>REV00091</t>
  </si>
  <si>
    <t>REV00092</t>
  </si>
  <si>
    <t>REV00093</t>
  </si>
  <si>
    <t>REV00094</t>
  </si>
  <si>
    <t>REV00095</t>
  </si>
  <si>
    <t>REV00096</t>
  </si>
  <si>
    <t>REV00097</t>
  </si>
  <si>
    <t>REV00098</t>
  </si>
  <si>
    <t>REV00099</t>
  </si>
  <si>
    <t>REV00100</t>
  </si>
  <si>
    <t>REV00101</t>
  </si>
  <si>
    <t>REV00102</t>
  </si>
  <si>
    <t>REV00103</t>
  </si>
  <si>
    <t>REV00104</t>
  </si>
  <si>
    <t>REV00105</t>
  </si>
  <si>
    <t>REV00106</t>
  </si>
  <si>
    <t>REV00107</t>
  </si>
  <si>
    <t>REV00108</t>
  </si>
  <si>
    <t>REV00109</t>
  </si>
  <si>
    <t>REV00110</t>
  </si>
  <si>
    <t>REV00111</t>
  </si>
  <si>
    <t>REV00112</t>
  </si>
  <si>
    <t>REV00113</t>
  </si>
  <si>
    <t>REV00114</t>
  </si>
  <si>
    <t>REV00115</t>
  </si>
  <si>
    <t>REV00116</t>
  </si>
  <si>
    <t>REV00117</t>
  </si>
  <si>
    <t>REV00118</t>
  </si>
  <si>
    <t>REV00119</t>
  </si>
  <si>
    <t>REV00120</t>
  </si>
  <si>
    <t>REV00121</t>
  </si>
  <si>
    <t>REV00122</t>
  </si>
  <si>
    <t>REV00123</t>
  </si>
  <si>
    <t>REV00124</t>
  </si>
  <si>
    <t>REV00125</t>
  </si>
  <si>
    <t>REV00126</t>
  </si>
  <si>
    <t>REV00127</t>
  </si>
  <si>
    <t>REV00128</t>
  </si>
  <si>
    <t>REV00129</t>
  </si>
  <si>
    <t>REV00130</t>
  </si>
  <si>
    <t>REV00131</t>
  </si>
  <si>
    <t>REV00132</t>
  </si>
  <si>
    <t>REV00133</t>
  </si>
  <si>
    <t>REV00134</t>
  </si>
  <si>
    <t>REV00135</t>
  </si>
  <si>
    <t>REV00136</t>
  </si>
  <si>
    <t>REV00137</t>
  </si>
  <si>
    <t>REV00138</t>
  </si>
  <si>
    <t>REV00139</t>
  </si>
  <si>
    <t>REV00140</t>
  </si>
  <si>
    <t>REV00141</t>
  </si>
  <si>
    <t>REV00142</t>
  </si>
  <si>
    <t>REV00143</t>
  </si>
  <si>
    <t>REV00144</t>
  </si>
  <si>
    <t>REV00145</t>
  </si>
  <si>
    <t>REV00146</t>
  </si>
  <si>
    <t>REV00147</t>
  </si>
  <si>
    <t>REV00148</t>
  </si>
  <si>
    <t>REV00149</t>
  </si>
  <si>
    <t>REV00150</t>
  </si>
  <si>
    <t>REV00151</t>
  </si>
  <si>
    <t>REV00152</t>
  </si>
  <si>
    <t>REV00153</t>
  </si>
  <si>
    <t>REV00154</t>
  </si>
  <si>
    <t>REV00155</t>
  </si>
  <si>
    <t>REV00156</t>
  </si>
  <si>
    <t>REV00157</t>
  </si>
  <si>
    <t>REV00158</t>
  </si>
  <si>
    <t>REV00159</t>
  </si>
  <si>
    <t>REV00160</t>
  </si>
  <si>
    <t>REV00161</t>
  </si>
  <si>
    <t>REV00162</t>
  </si>
  <si>
    <t>REV00163</t>
  </si>
  <si>
    <t>REV00164</t>
  </si>
  <si>
    <t>REV00165</t>
  </si>
  <si>
    <t>REV00166</t>
  </si>
  <si>
    <t>REV00167</t>
  </si>
  <si>
    <t>REV00168</t>
  </si>
  <si>
    <t>REV00169</t>
  </si>
  <si>
    <t>REV00170</t>
  </si>
  <si>
    <t>REV00171</t>
  </si>
  <si>
    <t>REV00172</t>
  </si>
  <si>
    <t>REV00173</t>
  </si>
  <si>
    <t>REV00174</t>
  </si>
  <si>
    <t>REV00175</t>
  </si>
  <si>
    <t>REV00176</t>
  </si>
  <si>
    <t>REV00177</t>
  </si>
  <si>
    <t>REV00178</t>
  </si>
  <si>
    <t>REV00179</t>
  </si>
  <si>
    <t>REV00180</t>
  </si>
  <si>
    <t>REV00181</t>
  </si>
  <si>
    <t>REV00182</t>
  </si>
  <si>
    <t>REV00183</t>
  </si>
  <si>
    <t>REV00184</t>
  </si>
  <si>
    <t>REV00185</t>
  </si>
  <si>
    <t>REV00186</t>
  </si>
  <si>
    <t>REV00187</t>
  </si>
  <si>
    <t>REV00188</t>
  </si>
  <si>
    <t>REV00189</t>
  </si>
  <si>
    <t>REV00190</t>
  </si>
  <si>
    <t>REV00191</t>
  </si>
  <si>
    <t>REV00192</t>
  </si>
  <si>
    <t>REV00193</t>
  </si>
  <si>
    <t>REV00194</t>
  </si>
  <si>
    <t>REV00195</t>
  </si>
  <si>
    <t>REV00196</t>
  </si>
  <si>
    <t>REV00197</t>
  </si>
  <si>
    <t>REV00198</t>
  </si>
  <si>
    <t>REV00199</t>
  </si>
  <si>
    <t>REV00200</t>
  </si>
  <si>
    <t>REV00201</t>
  </si>
  <si>
    <t>REV00202</t>
  </si>
  <si>
    <t>REV00203</t>
  </si>
  <si>
    <t>REV00204</t>
  </si>
  <si>
    <t>REV00205</t>
  </si>
  <si>
    <t>REV00206</t>
  </si>
  <si>
    <t>REV00207</t>
  </si>
  <si>
    <t>REV00208</t>
  </si>
  <si>
    <t>REV00209</t>
  </si>
  <si>
    <t>REV00210</t>
  </si>
  <si>
    <t>REV00211</t>
  </si>
  <si>
    <t>REV00212</t>
  </si>
  <si>
    <t>REV00213</t>
  </si>
  <si>
    <t>REV00214</t>
  </si>
  <si>
    <t>REV00215</t>
  </si>
  <si>
    <t>REV00216</t>
  </si>
  <si>
    <t>REV00217</t>
  </si>
  <si>
    <t>REV00218</t>
  </si>
  <si>
    <t>REV00219</t>
  </si>
  <si>
    <t>REV00220</t>
  </si>
  <si>
    <t>REV00221</t>
  </si>
  <si>
    <t>REV00222</t>
  </si>
  <si>
    <t>REV00223</t>
  </si>
  <si>
    <t>REV00224</t>
  </si>
  <si>
    <t>REV00225</t>
  </si>
  <si>
    <t>REV00226</t>
  </si>
  <si>
    <t>REV00227</t>
  </si>
  <si>
    <t>REV00228</t>
  </si>
  <si>
    <t>REV00229</t>
  </si>
  <si>
    <t>REV00230</t>
  </si>
  <si>
    <t>REV00231</t>
  </si>
  <si>
    <t>REV00232</t>
  </si>
  <si>
    <t>REV00233</t>
  </si>
  <si>
    <t>REV00234</t>
  </si>
  <si>
    <t>REV00235</t>
  </si>
  <si>
    <t>REV00236</t>
  </si>
  <si>
    <t>REV00237</t>
  </si>
  <si>
    <t>REV00238</t>
  </si>
  <si>
    <t>REV00239</t>
  </si>
  <si>
    <t>REV00240</t>
  </si>
  <si>
    <t>REV00241</t>
  </si>
  <si>
    <t>REV00242</t>
  </si>
  <si>
    <t>REV00243</t>
  </si>
  <si>
    <t>REV00244</t>
  </si>
  <si>
    <t>REV00245</t>
  </si>
  <si>
    <t>REV00246</t>
  </si>
  <si>
    <t>REV00247</t>
  </si>
  <si>
    <t>REV00248</t>
  </si>
  <si>
    <t>REV00249</t>
  </si>
  <si>
    <t>REV00250</t>
  </si>
  <si>
    <t>REV00251</t>
  </si>
  <si>
    <t>REV00252</t>
  </si>
  <si>
    <t>REV00253</t>
  </si>
  <si>
    <t>REV00254</t>
  </si>
  <si>
    <t>REV00255</t>
  </si>
  <si>
    <t>REV00256</t>
  </si>
  <si>
    <t>REV00257</t>
  </si>
  <si>
    <t>REV00258</t>
  </si>
  <si>
    <t>REV00259</t>
  </si>
  <si>
    <t>REV00260</t>
  </si>
  <si>
    <t>REV00261</t>
  </si>
  <si>
    <t>REV00262</t>
  </si>
  <si>
    <t>REV00263</t>
  </si>
  <si>
    <t>REV00264</t>
  </si>
  <si>
    <t>REV00265</t>
  </si>
  <si>
    <t>REV00266</t>
  </si>
  <si>
    <t>REV00267</t>
  </si>
  <si>
    <t>REV00268</t>
  </si>
  <si>
    <t>REV00269</t>
  </si>
  <si>
    <t>REV00270</t>
  </si>
  <si>
    <t>REV00271</t>
  </si>
  <si>
    <t>REV00272</t>
  </si>
  <si>
    <t>REV00273</t>
  </si>
  <si>
    <t>REV00274</t>
  </si>
  <si>
    <t>REV00275</t>
  </si>
  <si>
    <t>REV00276</t>
  </si>
  <si>
    <t>REV00277</t>
  </si>
  <si>
    <t>REV00278</t>
  </si>
  <si>
    <t>REV00279</t>
  </si>
  <si>
    <t>REV00280</t>
  </si>
  <si>
    <t>REV00281</t>
  </si>
  <si>
    <t>REV00282</t>
  </si>
  <si>
    <t>REV00283</t>
  </si>
  <si>
    <t>REV00284</t>
  </si>
  <si>
    <t>REV00285</t>
  </si>
  <si>
    <t>REV00286</t>
  </si>
  <si>
    <t>REV00287</t>
  </si>
  <si>
    <t>REV00288</t>
  </si>
  <si>
    <t>REV00289</t>
  </si>
  <si>
    <t>REV00290</t>
  </si>
  <si>
    <t>REV00291</t>
  </si>
  <si>
    <t>REV00292</t>
  </si>
  <si>
    <t>REV00293</t>
  </si>
  <si>
    <t>REV00294</t>
  </si>
  <si>
    <t>REV00295</t>
  </si>
  <si>
    <t>REV00296</t>
  </si>
  <si>
    <t>REV00297</t>
  </si>
  <si>
    <t>REV00298</t>
  </si>
  <si>
    <t>REV00299</t>
  </si>
  <si>
    <t>REV00300</t>
  </si>
  <si>
    <t>REV00301</t>
  </si>
  <si>
    <t>REV00302</t>
  </si>
  <si>
    <t>REV00303</t>
  </si>
  <si>
    <t>REV00304</t>
  </si>
  <si>
    <t>REV00305</t>
  </si>
  <si>
    <t>REV00306</t>
  </si>
  <si>
    <t>REV00307</t>
  </si>
  <si>
    <t>REV00308</t>
  </si>
  <si>
    <t>REV00309</t>
  </si>
  <si>
    <t>REV00310</t>
  </si>
  <si>
    <t>REV00311</t>
  </si>
  <si>
    <t>REV00312</t>
  </si>
  <si>
    <t>REV00313</t>
  </si>
  <si>
    <t>Training_ID</t>
  </si>
  <si>
    <t>Training_Name</t>
  </si>
  <si>
    <t>Training_Type</t>
  </si>
  <si>
    <t>Provider</t>
  </si>
  <si>
    <t>Duration_Hrs</t>
  </si>
  <si>
    <t>Score_100</t>
  </si>
  <si>
    <t>Is_Mandatory</t>
  </si>
  <si>
    <t>TRN00001</t>
  </si>
  <si>
    <t>Cloud Architecture Best Practices</t>
  </si>
  <si>
    <t>External</t>
  </si>
  <si>
    <t>AWS Training</t>
  </si>
  <si>
    <t>TRN00002</t>
  </si>
  <si>
    <t>Cybersecurity Awareness</t>
  </si>
  <si>
    <t>Internal</t>
  </si>
  <si>
    <t>Internal L&amp;D</t>
  </si>
  <si>
    <t>Enrolled</t>
  </si>
  <si>
    <t>TRN00003</t>
  </si>
  <si>
    <t>Stakeholder Management Workshop</t>
  </si>
  <si>
    <t>TRN00004</t>
  </si>
  <si>
    <t>TRN00005</t>
  </si>
  <si>
    <t>Data Governance &amp; Compliance</t>
  </si>
  <si>
    <t>TRN00006</t>
  </si>
  <si>
    <t>TRN00007</t>
  </si>
  <si>
    <t>TRN00008</t>
  </si>
  <si>
    <t>Generative AI Fundamentals</t>
  </si>
  <si>
    <t>In Progress</t>
  </si>
  <si>
    <t>TRN00009</t>
  </si>
  <si>
    <t>TRN00010</t>
  </si>
  <si>
    <t>TRN00011</t>
  </si>
  <si>
    <t>Power BI Advanced Analytics</t>
  </si>
  <si>
    <t>Microsoft Learn</t>
  </si>
  <si>
    <t>TRN00012</t>
  </si>
  <si>
    <t>Python for Data Engineering</t>
  </si>
  <si>
    <t>Udemy / Pluralsight</t>
  </si>
  <si>
    <t>TRN00013</t>
  </si>
  <si>
    <t>Docker &amp; Kubernetes Essentials</t>
  </si>
  <si>
    <t>Linux Foundation</t>
  </si>
  <si>
    <t>TRN00014</t>
  </si>
  <si>
    <t>Agile Delivery Masterclass</t>
  </si>
  <si>
    <t>TRN00015</t>
  </si>
  <si>
    <t>TRN00016</t>
  </si>
  <si>
    <t>MLOps &amp; Model Deployment</t>
  </si>
  <si>
    <t>Coursera</t>
  </si>
  <si>
    <t>TRN00017</t>
  </si>
  <si>
    <t>TRN00018</t>
  </si>
  <si>
    <t>Spark Performance Tuning</t>
  </si>
  <si>
    <t>Databricks Academy</t>
  </si>
  <si>
    <t>TRN00019</t>
  </si>
  <si>
    <t>TRN00020</t>
  </si>
  <si>
    <t>TRN00021</t>
  </si>
  <si>
    <t>TRN00022</t>
  </si>
  <si>
    <t>TRN00023</t>
  </si>
  <si>
    <t>TRN00024</t>
  </si>
  <si>
    <t>TRN00025</t>
  </si>
  <si>
    <t>TRN00026</t>
  </si>
  <si>
    <t>TRN00027</t>
  </si>
  <si>
    <t>TRN00028</t>
  </si>
  <si>
    <t>Leadership Excellence Program</t>
  </si>
  <si>
    <t>Harvard ManageMentor</t>
  </si>
  <si>
    <t>TRN00029</t>
  </si>
  <si>
    <t>TRN00030</t>
  </si>
  <si>
    <t>TRN00031</t>
  </si>
  <si>
    <t>TRN00032</t>
  </si>
  <si>
    <t>TRN00033</t>
  </si>
  <si>
    <t>TRN00034</t>
  </si>
  <si>
    <t>TRN00035</t>
  </si>
  <si>
    <t>Advanced SQL Optimization</t>
  </si>
  <si>
    <t>TRN00036</t>
  </si>
  <si>
    <t>TRN00037</t>
  </si>
  <si>
    <t>TRN00038</t>
  </si>
  <si>
    <t>TRN00039</t>
  </si>
  <si>
    <t>TRN00040</t>
  </si>
  <si>
    <t>TRN00041</t>
  </si>
  <si>
    <t>TRN00042</t>
  </si>
  <si>
    <t>TRN00043</t>
  </si>
  <si>
    <t>Client Communication Workshop</t>
  </si>
  <si>
    <t>TRN00044</t>
  </si>
  <si>
    <t>TRN00045</t>
  </si>
  <si>
    <t>TRN00046</t>
  </si>
  <si>
    <t>TRN00047</t>
  </si>
  <si>
    <t>TRN00048</t>
  </si>
  <si>
    <t>TRN00049</t>
  </si>
  <si>
    <t>TRN00050</t>
  </si>
  <si>
    <t>TRN00051</t>
  </si>
  <si>
    <t>TRN00052</t>
  </si>
  <si>
    <t>TRN00053</t>
  </si>
  <si>
    <t>TRN00054</t>
  </si>
  <si>
    <t>TRN00055</t>
  </si>
  <si>
    <t>TRN00056</t>
  </si>
  <si>
    <t>TRN00057</t>
  </si>
  <si>
    <t>TRN00058</t>
  </si>
  <si>
    <t>TRN00059</t>
  </si>
  <si>
    <t>TRN00060</t>
  </si>
  <si>
    <t>TRN00061</t>
  </si>
  <si>
    <t>TRN00062</t>
  </si>
  <si>
    <t>TRN00063</t>
  </si>
  <si>
    <t>TRN00064</t>
  </si>
  <si>
    <t>TRN00065</t>
  </si>
  <si>
    <t>TRN00066</t>
  </si>
  <si>
    <t>TRN00067</t>
  </si>
  <si>
    <t>TRN00068</t>
  </si>
  <si>
    <t>TRN00069</t>
  </si>
  <si>
    <t>TRN00070</t>
  </si>
  <si>
    <t>TRN00071</t>
  </si>
  <si>
    <t>TRN00072</t>
  </si>
  <si>
    <t>TRN00073</t>
  </si>
  <si>
    <t>TRN00074</t>
  </si>
  <si>
    <t>TRN00075</t>
  </si>
  <si>
    <t>TRN00076</t>
  </si>
  <si>
    <t>TRN00077</t>
  </si>
  <si>
    <t>TRN00078</t>
  </si>
  <si>
    <t>TRN00079</t>
  </si>
  <si>
    <t>TRN00080</t>
  </si>
  <si>
    <t>TRN00081</t>
  </si>
  <si>
    <t>TRN00082</t>
  </si>
  <si>
    <t>TRN00083</t>
  </si>
  <si>
    <t>TRN00084</t>
  </si>
  <si>
    <t>TRN00085</t>
  </si>
  <si>
    <t>TRN00086</t>
  </si>
  <si>
    <t>TRN00087</t>
  </si>
  <si>
    <t>TRN00088</t>
  </si>
  <si>
    <t>TRN00089</t>
  </si>
  <si>
    <t>TRN00090</t>
  </si>
  <si>
    <t>TRN00091</t>
  </si>
  <si>
    <t>TRN00092</t>
  </si>
  <si>
    <t>TRN00093</t>
  </si>
  <si>
    <t>TRN00094</t>
  </si>
  <si>
    <t>TRN00095</t>
  </si>
  <si>
    <t>TRN00096</t>
  </si>
  <si>
    <t>TRN00097</t>
  </si>
  <si>
    <t>TRN00098</t>
  </si>
  <si>
    <t>TRN00099</t>
  </si>
  <si>
    <t>TRN00100</t>
  </si>
  <si>
    <t>TRN00101</t>
  </si>
  <si>
    <t>TRN00102</t>
  </si>
  <si>
    <t>TRN00103</t>
  </si>
  <si>
    <t>TRN00104</t>
  </si>
  <si>
    <t>TRN00105</t>
  </si>
  <si>
    <t>TRN00106</t>
  </si>
  <si>
    <t>TRN00107</t>
  </si>
  <si>
    <t>TRN00108</t>
  </si>
  <si>
    <t>TRN00109</t>
  </si>
  <si>
    <t>TRN00110</t>
  </si>
  <si>
    <t>TRN00111</t>
  </si>
  <si>
    <t>TRN00112</t>
  </si>
  <si>
    <t>TRN00113</t>
  </si>
  <si>
    <t>TRN00114</t>
  </si>
  <si>
    <t>TRN00115</t>
  </si>
  <si>
    <t>TRN00116</t>
  </si>
  <si>
    <t>TRN00117</t>
  </si>
  <si>
    <t>TRN00118</t>
  </si>
  <si>
    <t>TRN00119</t>
  </si>
  <si>
    <t>TRN00120</t>
  </si>
  <si>
    <t>TRN00121</t>
  </si>
  <si>
    <t>TRN00122</t>
  </si>
  <si>
    <t>TRN00123</t>
  </si>
  <si>
    <t>TRN00124</t>
  </si>
  <si>
    <t>TRN00125</t>
  </si>
  <si>
    <t>TRN00126</t>
  </si>
  <si>
    <t>TRN00127</t>
  </si>
  <si>
    <t>TRN00128</t>
  </si>
  <si>
    <t>TRN00129</t>
  </si>
  <si>
    <t>TRN00130</t>
  </si>
  <si>
    <t>TRN00131</t>
  </si>
  <si>
    <t>TRN00132</t>
  </si>
  <si>
    <t>TRN00133</t>
  </si>
  <si>
    <t>TRN00134</t>
  </si>
  <si>
    <t>TRN00135</t>
  </si>
  <si>
    <t>TRN00136</t>
  </si>
  <si>
    <t>TRN00137</t>
  </si>
  <si>
    <t>TRN00138</t>
  </si>
  <si>
    <t>TRN00139</t>
  </si>
  <si>
    <t>TRN00140</t>
  </si>
  <si>
    <t>TRN00141</t>
  </si>
  <si>
    <t>TRN00142</t>
  </si>
  <si>
    <t>TRN00143</t>
  </si>
  <si>
    <t>TRN00144</t>
  </si>
  <si>
    <t>TRN00145</t>
  </si>
  <si>
    <t>TRN00146</t>
  </si>
  <si>
    <t>TRN00147</t>
  </si>
  <si>
    <t>TRN00148</t>
  </si>
  <si>
    <t>TRN00149</t>
  </si>
  <si>
    <t>TRN00150</t>
  </si>
  <si>
    <t>TRN00151</t>
  </si>
  <si>
    <t>TRN00152</t>
  </si>
  <si>
    <t>TRN00153</t>
  </si>
  <si>
    <t>TRN00154</t>
  </si>
  <si>
    <t>TRN00155</t>
  </si>
  <si>
    <t>TRN00156</t>
  </si>
  <si>
    <t>TRN00157</t>
  </si>
  <si>
    <t>TRN00158</t>
  </si>
  <si>
    <t>TRN00159</t>
  </si>
  <si>
    <t>TRN00160</t>
  </si>
  <si>
    <t>TRN00161</t>
  </si>
  <si>
    <t>TRN00162</t>
  </si>
  <si>
    <t>TRN00163</t>
  </si>
  <si>
    <t>TRN00164</t>
  </si>
  <si>
    <t>TRN00165</t>
  </si>
  <si>
    <t>TRN00166</t>
  </si>
  <si>
    <t>TRN00167</t>
  </si>
  <si>
    <t>TRN00168</t>
  </si>
  <si>
    <t>TRN00169</t>
  </si>
  <si>
    <t>TRN00170</t>
  </si>
  <si>
    <t>TRN00171</t>
  </si>
  <si>
    <t>TRN00172</t>
  </si>
  <si>
    <t>TRN00173</t>
  </si>
  <si>
    <t>TRN00174</t>
  </si>
  <si>
    <t>TRN00175</t>
  </si>
  <si>
    <t>TRN00176</t>
  </si>
  <si>
    <t>TRN00177</t>
  </si>
  <si>
    <t>TRN00178</t>
  </si>
  <si>
    <t>TRN00179</t>
  </si>
  <si>
    <t>TRN00180</t>
  </si>
  <si>
    <t>TRN00181</t>
  </si>
  <si>
    <t>TRN00182</t>
  </si>
  <si>
    <t>TRN00183</t>
  </si>
  <si>
    <t>TRN00184</t>
  </si>
  <si>
    <t>TRN00185</t>
  </si>
  <si>
    <t>TRN00186</t>
  </si>
  <si>
    <t>TRN00187</t>
  </si>
  <si>
    <t>TRN00188</t>
  </si>
  <si>
    <t>TRN00189</t>
  </si>
  <si>
    <t>TRN00190</t>
  </si>
  <si>
    <t>TRN00191</t>
  </si>
  <si>
    <t>TRN00192</t>
  </si>
  <si>
    <t>TRN00193</t>
  </si>
  <si>
    <t>TRN00194</t>
  </si>
  <si>
    <t>TRN00195</t>
  </si>
  <si>
    <t>TRN00196</t>
  </si>
  <si>
    <t>TRN00197</t>
  </si>
  <si>
    <t>TRN00198</t>
  </si>
  <si>
    <t>TRN00199</t>
  </si>
  <si>
    <t>TRN00200</t>
  </si>
  <si>
    <t>TRN00201</t>
  </si>
  <si>
    <t>TRN00202</t>
  </si>
  <si>
    <t>TRN00203</t>
  </si>
  <si>
    <t>TRN00204</t>
  </si>
  <si>
    <t>TRN00205</t>
  </si>
  <si>
    <t>TRN00206</t>
  </si>
  <si>
    <t>TRN00207</t>
  </si>
  <si>
    <t>TRN00208</t>
  </si>
  <si>
    <t>TRN00209</t>
  </si>
  <si>
    <t>TRN00210</t>
  </si>
  <si>
    <t>TRN00211</t>
  </si>
  <si>
    <t>TRN00212</t>
  </si>
  <si>
    <t>TRN00213</t>
  </si>
  <si>
    <t>TRN00214</t>
  </si>
  <si>
    <t>TRN00215</t>
  </si>
  <si>
    <t>TRN00216</t>
  </si>
  <si>
    <t>TRN00217</t>
  </si>
  <si>
    <t>TRN00218</t>
  </si>
  <si>
    <t>TRN00219</t>
  </si>
  <si>
    <t>TRN00220</t>
  </si>
  <si>
    <t>TRN00221</t>
  </si>
  <si>
    <t>TRN00222</t>
  </si>
  <si>
    <t>TRN00223</t>
  </si>
  <si>
    <t>TRN00224</t>
  </si>
  <si>
    <t>TRN00225</t>
  </si>
  <si>
    <t>TRN00226</t>
  </si>
  <si>
    <t>TRN00227</t>
  </si>
  <si>
    <t>TRN00228</t>
  </si>
  <si>
    <t>TRN00229</t>
  </si>
  <si>
    <t>TRN00230</t>
  </si>
  <si>
    <t>TRN00231</t>
  </si>
  <si>
    <t>TRN00232</t>
  </si>
  <si>
    <t>TRN00233</t>
  </si>
  <si>
    <t>TRN00234</t>
  </si>
  <si>
    <t>TRN00235</t>
  </si>
  <si>
    <t>TRN00236</t>
  </si>
  <si>
    <t>TRN00237</t>
  </si>
  <si>
    <t>TRN00238</t>
  </si>
  <si>
    <t>TRN00239</t>
  </si>
  <si>
    <t>TRN00240</t>
  </si>
  <si>
    <t>TRN00241</t>
  </si>
  <si>
    <t>TRN00242</t>
  </si>
  <si>
    <t>TRN00243</t>
  </si>
  <si>
    <t>TRN00244</t>
  </si>
  <si>
    <t>TRN00245</t>
  </si>
  <si>
    <t>TRN00246</t>
  </si>
  <si>
    <t>TRN00247</t>
  </si>
  <si>
    <t>TRN00248</t>
  </si>
  <si>
    <t>TRN00249</t>
  </si>
  <si>
    <t>TRN00250</t>
  </si>
  <si>
    <t>TRN00251</t>
  </si>
  <si>
    <t>TRN00252</t>
  </si>
  <si>
    <t>TRN00253</t>
  </si>
  <si>
    <t>TRN00254</t>
  </si>
  <si>
    <t>TRN00255</t>
  </si>
  <si>
    <t>TRN00256</t>
  </si>
  <si>
    <t>TRN00257</t>
  </si>
  <si>
    <t>TRN00258</t>
  </si>
  <si>
    <t>TRN00259</t>
  </si>
  <si>
    <t>TRN00260</t>
  </si>
  <si>
    <t>TRN00261</t>
  </si>
  <si>
    <t>TRN00262</t>
  </si>
  <si>
    <t>TRN00263</t>
  </si>
  <si>
    <t>TRN00264</t>
  </si>
  <si>
    <t>TRN00265</t>
  </si>
  <si>
    <t>TRN00266</t>
  </si>
  <si>
    <t>TRN00267</t>
  </si>
  <si>
    <t>TRN00268</t>
  </si>
  <si>
    <t>TRN00269</t>
  </si>
  <si>
    <t>TRN00270</t>
  </si>
  <si>
    <t>TRN00271</t>
  </si>
  <si>
    <t>TRN00272</t>
  </si>
  <si>
    <t>TRN00273</t>
  </si>
  <si>
    <t>TRN00274</t>
  </si>
  <si>
    <t>TRN00275</t>
  </si>
  <si>
    <t>TRN00276</t>
  </si>
  <si>
    <t>TRN00277</t>
  </si>
  <si>
    <t>TRN00278</t>
  </si>
  <si>
    <t>TRN00279</t>
  </si>
  <si>
    <t>TRN00280</t>
  </si>
  <si>
    <t>TRN00281</t>
  </si>
  <si>
    <t>TRN00282</t>
  </si>
  <si>
    <t>TRN00283</t>
  </si>
  <si>
    <t>TRN00284</t>
  </si>
  <si>
    <t>TRN00285</t>
  </si>
  <si>
    <t>TRN00286</t>
  </si>
  <si>
    <t>TRN00287</t>
  </si>
  <si>
    <t>TRN00288</t>
  </si>
  <si>
    <t>TRN00289</t>
  </si>
  <si>
    <t>TRN00290</t>
  </si>
  <si>
    <t>TRN00291</t>
  </si>
  <si>
    <t>TRN00292</t>
  </si>
  <si>
    <t>TRN00293</t>
  </si>
  <si>
    <t>TRN00294</t>
  </si>
  <si>
    <t>TRN00295</t>
  </si>
  <si>
    <t>TRN00296</t>
  </si>
  <si>
    <t>TRN00297</t>
  </si>
  <si>
    <t>TRN00298</t>
  </si>
  <si>
    <t>TRN00299</t>
  </si>
  <si>
    <t>TRN00300</t>
  </si>
  <si>
    <t>TRN00301</t>
  </si>
  <si>
    <t>TRN00302</t>
  </si>
  <si>
    <t>TRN00303</t>
  </si>
  <si>
    <t>TRN00304</t>
  </si>
  <si>
    <t>TRN00305</t>
  </si>
  <si>
    <t>TRN00306</t>
  </si>
  <si>
    <t>TRN00307</t>
  </si>
  <si>
    <t>TRN00308</t>
  </si>
  <si>
    <t>TRN00309</t>
  </si>
  <si>
    <t>TRN00310</t>
  </si>
  <si>
    <t>TRN00311</t>
  </si>
  <si>
    <t>TRN00312</t>
  </si>
  <si>
    <t>TRN00313</t>
  </si>
  <si>
    <t>TRN00314</t>
  </si>
  <si>
    <t>TRN00315</t>
  </si>
  <si>
    <t>TRN00316</t>
  </si>
  <si>
    <t>TRN00317</t>
  </si>
  <si>
    <t>TRN00318</t>
  </si>
  <si>
    <t>TRN00319</t>
  </si>
  <si>
    <t>TRN00320</t>
  </si>
  <si>
    <t>TRN00321</t>
  </si>
  <si>
    <t>TRN00322</t>
  </si>
  <si>
    <t>TRN00323</t>
  </si>
  <si>
    <t>TRN00324</t>
  </si>
  <si>
    <t>TRN00325</t>
  </si>
  <si>
    <t>TRN00326</t>
  </si>
  <si>
    <t>TRN00327</t>
  </si>
  <si>
    <t>TRN00328</t>
  </si>
  <si>
    <t>TRN00329</t>
  </si>
  <si>
    <t>TRN00330</t>
  </si>
  <si>
    <t>TRN00331</t>
  </si>
  <si>
    <t>TRN00332</t>
  </si>
  <si>
    <t>TRN00333</t>
  </si>
  <si>
    <t>TRN00334</t>
  </si>
  <si>
    <t>TRN00335</t>
  </si>
  <si>
    <t>TRN00336</t>
  </si>
  <si>
    <t>TRN00337</t>
  </si>
  <si>
    <t>TRN00338</t>
  </si>
  <si>
    <t>TRN00339</t>
  </si>
  <si>
    <t>TRN00340</t>
  </si>
  <si>
    <t>TRN00341</t>
  </si>
  <si>
    <t>TRN00342</t>
  </si>
  <si>
    <t>TRN00343</t>
  </si>
  <si>
    <t>TRN00344</t>
  </si>
  <si>
    <t>TRN00345</t>
  </si>
  <si>
    <t>TRN00346</t>
  </si>
  <si>
    <t>TRN00347</t>
  </si>
  <si>
    <t>TRN00348</t>
  </si>
  <si>
    <t>TRN00349</t>
  </si>
  <si>
    <t>TRN00350</t>
  </si>
  <si>
    <t>TRN00351</t>
  </si>
  <si>
    <t>TRN00352</t>
  </si>
  <si>
    <t>TRN00353</t>
  </si>
  <si>
    <t>TRN00354</t>
  </si>
  <si>
    <t>TRN00355</t>
  </si>
  <si>
    <t>TRN00356</t>
  </si>
  <si>
    <t>TRN00357</t>
  </si>
  <si>
    <t>TRN00358</t>
  </si>
  <si>
    <t>TRN00359</t>
  </si>
  <si>
    <t>TRN00360</t>
  </si>
  <si>
    <t>TRN00361</t>
  </si>
  <si>
    <t>TRN00362</t>
  </si>
  <si>
    <t>TRN00363</t>
  </si>
  <si>
    <t>TRN00364</t>
  </si>
  <si>
    <t>TRN00365</t>
  </si>
  <si>
    <t>TRN00366</t>
  </si>
  <si>
    <t>TRN00367</t>
  </si>
  <si>
    <t>TRN00368</t>
  </si>
  <si>
    <t>TRN00369</t>
  </si>
  <si>
    <t>TRN00370</t>
  </si>
  <si>
    <t>TRN00371</t>
  </si>
  <si>
    <t>TRN00372</t>
  </si>
  <si>
    <t>TRN00373</t>
  </si>
  <si>
    <t>TRN00374</t>
  </si>
  <si>
    <t>TRN00375</t>
  </si>
  <si>
    <t>TRN00376</t>
  </si>
  <si>
    <t>TRN00377</t>
  </si>
  <si>
    <t>TRN00378</t>
  </si>
  <si>
    <t>TRN00379</t>
  </si>
  <si>
    <t>TRN00380</t>
  </si>
  <si>
    <t>TRN00381</t>
  </si>
  <si>
    <t>TRN00382</t>
  </si>
  <si>
    <t>TRN00383</t>
  </si>
  <si>
    <t>TRN00384</t>
  </si>
  <si>
    <t>TRN00385</t>
  </si>
  <si>
    <t>TRN00386</t>
  </si>
  <si>
    <t>TRN00387</t>
  </si>
  <si>
    <t>TRN00388</t>
  </si>
  <si>
    <t>TRN00389</t>
  </si>
  <si>
    <t>TRN00390</t>
  </si>
  <si>
    <t>TRN00391</t>
  </si>
  <si>
    <t>TRN00392</t>
  </si>
  <si>
    <t>TRN00393</t>
  </si>
  <si>
    <t>TRN00394</t>
  </si>
  <si>
    <t>TRN00395</t>
  </si>
  <si>
    <t>TRN00396</t>
  </si>
  <si>
    <t>TRN00397</t>
  </si>
  <si>
    <t>TRN00398</t>
  </si>
  <si>
    <t>TRN00399</t>
  </si>
  <si>
    <t>TRN00400</t>
  </si>
  <si>
    <t>TRN00401</t>
  </si>
  <si>
    <t>TRN00402</t>
  </si>
  <si>
    <t>TRN00403</t>
  </si>
  <si>
    <t>TRN00404</t>
  </si>
  <si>
    <t>TRN00405</t>
  </si>
  <si>
    <t>TRN00406</t>
  </si>
  <si>
    <t>TRN00407</t>
  </si>
  <si>
    <t>TRN00408</t>
  </si>
  <si>
    <t>TRN00409</t>
  </si>
  <si>
    <t>TRN00410</t>
  </si>
  <si>
    <t>TRN00411</t>
  </si>
  <si>
    <t>TRN00412</t>
  </si>
  <si>
    <t>TRN00413</t>
  </si>
  <si>
    <t>TRN00414</t>
  </si>
  <si>
    <t>TRN00415</t>
  </si>
  <si>
    <t>TRN00416</t>
  </si>
  <si>
    <t>TRN00417</t>
  </si>
  <si>
    <t>TRN00418</t>
  </si>
  <si>
    <t>TRN00419</t>
  </si>
  <si>
    <t>TRN00420</t>
  </si>
  <si>
    <t>TRN00421</t>
  </si>
  <si>
    <t>TRN00422</t>
  </si>
  <si>
    <t>TRN00423</t>
  </si>
  <si>
    <t>TRN00424</t>
  </si>
  <si>
    <t>TRN00425</t>
  </si>
  <si>
    <t>TRN00426</t>
  </si>
  <si>
    <t>TRN00427</t>
  </si>
  <si>
    <t>TRN00428</t>
  </si>
  <si>
    <t>TRN00429</t>
  </si>
  <si>
    <t>TRN00430</t>
  </si>
  <si>
    <t>TRN00431</t>
  </si>
  <si>
    <t>TRN00432</t>
  </si>
  <si>
    <t>TRN00433</t>
  </si>
  <si>
    <t>TRN00434</t>
  </si>
  <si>
    <t>TRN00435</t>
  </si>
  <si>
    <t>TRN00436</t>
  </si>
  <si>
    <t>TRN00437</t>
  </si>
  <si>
    <t>TRN00438</t>
  </si>
  <si>
    <t>TRN00439</t>
  </si>
  <si>
    <t>TRN00440</t>
  </si>
  <si>
    <t>TRN00441</t>
  </si>
  <si>
    <t>TRN00442</t>
  </si>
  <si>
    <t>TRN00443</t>
  </si>
  <si>
    <t>TRN00444</t>
  </si>
  <si>
    <t>TRN00445</t>
  </si>
  <si>
    <t>TRN00446</t>
  </si>
  <si>
    <t>TRN00447</t>
  </si>
  <si>
    <t>TRN00448</t>
  </si>
  <si>
    <t>TRN00449</t>
  </si>
  <si>
    <t>TRN00450</t>
  </si>
  <si>
    <t>TRN00451</t>
  </si>
  <si>
    <t>TRN00452</t>
  </si>
  <si>
    <t>TRN00453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</si>
</sst>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"/>
    <numFmt numFmtId="165" formatCode="0.0%"/>
    <numFmt numFmtId="166" formatCode="DD-MMM-YYYY"/>
    <numFmt numFmtId="167" formatCode="0&quot;%&quot;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9.0"/>
      <color rgb="FF888888"/>
      <name val="Arial"/>
    </font>
    <font>
      <b/>
      <sz val="9.0"/>
      <color rgb="FF555555"/>
      <name val="Arial"/>
    </font>
    <font>
      <b/>
      <sz val="11.0"/>
      <color rgb="FF1A5276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9.0"/>
      <color theme="1"/>
      <name val="Arial"/>
    </font>
    <font>
      <sz val="9.0"/>
      <color rgb="FF000000"/>
      <name val="Arial"/>
    </font>
    <font>
      <i/>
      <sz val="8.0"/>
      <color rgb="FF888888"/>
      <name val="Arial"/>
    </font>
    <font>
      <b/>
      <sz val="10.0"/>
      <color rgb="FFFFFFFF"/>
      <name val="Arial"/>
    </font>
    <font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A5276"/>
        <bgColor rgb="FF1A5276"/>
      </patternFill>
    </fill>
    <fill>
      <patternFill patternType="solid">
        <fgColor rgb="FFEAECEE"/>
        <bgColor rgb="FFEAECEE"/>
      </patternFill>
    </fill>
    <fill>
      <patternFill patternType="solid">
        <fgColor rgb="FFEBF5FB"/>
        <bgColor rgb="FFEBF5FB"/>
      </patternFill>
    </fill>
    <fill>
      <patternFill patternType="solid">
        <fgColor rgb="FF7D3C98"/>
        <bgColor rgb="FF7D3C98"/>
      </patternFill>
    </fill>
    <fill>
      <patternFill patternType="solid">
        <fgColor rgb="FF4A235A"/>
        <bgColor rgb="FF4A235A"/>
      </patternFill>
    </fill>
    <fill>
      <patternFill patternType="solid">
        <fgColor rgb="FFFFFFFF"/>
        <bgColor rgb="FFFFFFFF"/>
      </patternFill>
    </fill>
    <fill>
      <patternFill patternType="solid">
        <fgColor rgb="FFF5EEF8"/>
        <bgColor rgb="FFF5EEF8"/>
      </patternFill>
    </fill>
    <fill>
      <patternFill patternType="solid">
        <fgColor rgb="FFD5D8DC"/>
        <bgColor rgb="FFD5D8DC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  <border>
      <left style="thin">
        <color rgb="FFD0D3D4"/>
      </left>
      <top style="thin">
        <color rgb="FFD0D3D4"/>
      </top>
      <bottom style="thin">
        <color rgb="FFD0D3D4"/>
      </bottom>
    </border>
    <border>
      <right style="thin">
        <color rgb="FFD0D3D4"/>
      </right>
      <top style="thin">
        <color rgb="FFD0D3D4"/>
      </top>
      <bottom style="thin">
        <color rgb="FFD0D3D4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left" vertical="center"/>
    </xf>
    <xf borderId="5" fillId="4" fontId="5" numFmtId="3" xfId="0" applyAlignment="1" applyBorder="1" applyFill="1" applyFont="1" applyNumberFormat="1">
      <alignment horizontal="center" vertical="center"/>
    </xf>
    <xf borderId="5" fillId="4" fontId="5" numFmtId="164" xfId="0" applyAlignment="1" applyBorder="1" applyFont="1" applyNumberFormat="1">
      <alignment horizontal="center" vertical="center"/>
    </xf>
    <xf borderId="1" fillId="5" fontId="6" numFmtId="0" xfId="0" applyAlignment="1" applyBorder="1" applyFill="1" applyFont="1">
      <alignment horizontal="left" vertical="center"/>
    </xf>
    <xf borderId="6" fillId="6" fontId="7" numFmtId="0" xfId="0" applyAlignment="1" applyBorder="1" applyFill="1" applyFont="1">
      <alignment horizontal="center" vertical="center"/>
    </xf>
    <xf borderId="6" fillId="7" fontId="8" numFmtId="0" xfId="0" applyAlignment="1" applyBorder="1" applyFill="1" applyFont="1">
      <alignment horizontal="left" vertical="center"/>
    </xf>
    <xf borderId="6" fillId="7" fontId="9" numFmtId="49" xfId="0" applyAlignment="1" applyBorder="1" applyFont="1" applyNumberFormat="1">
      <alignment horizontal="right" vertical="center"/>
    </xf>
    <xf borderId="6" fillId="7" fontId="9" numFmtId="3" xfId="0" applyAlignment="1" applyBorder="1" applyFont="1" applyNumberFormat="1">
      <alignment horizontal="right" vertical="center"/>
    </xf>
    <xf borderId="6" fillId="7" fontId="9" numFmtId="165" xfId="0" applyAlignment="1" applyBorder="1" applyFont="1" applyNumberFormat="1">
      <alignment horizontal="right" vertical="center"/>
    </xf>
    <xf borderId="6" fillId="8" fontId="8" numFmtId="0" xfId="0" applyAlignment="1" applyBorder="1" applyFill="1" applyFont="1">
      <alignment horizontal="left" vertical="center"/>
    </xf>
    <xf borderId="6" fillId="8" fontId="9" numFmtId="49" xfId="0" applyAlignment="1" applyBorder="1" applyFont="1" applyNumberFormat="1">
      <alignment horizontal="right" vertical="center"/>
    </xf>
    <xf borderId="6" fillId="8" fontId="9" numFmtId="3" xfId="0" applyAlignment="1" applyBorder="1" applyFont="1" applyNumberFormat="1">
      <alignment horizontal="right" vertical="center"/>
    </xf>
    <xf borderId="6" fillId="8" fontId="9" numFmtId="165" xfId="0" applyAlignment="1" applyBorder="1" applyFont="1" applyNumberFormat="1">
      <alignment horizontal="right" vertical="center"/>
    </xf>
    <xf borderId="6" fillId="9" fontId="8" numFmtId="0" xfId="0" applyBorder="1" applyFill="1" applyFont="1"/>
    <xf borderId="6" fillId="9" fontId="8" numFmtId="3" xfId="0" applyAlignment="1" applyBorder="1" applyFont="1" applyNumberFormat="1">
      <alignment horizontal="right"/>
    </xf>
    <xf borderId="7" fillId="9" fontId="8" numFmtId="0" xfId="0" applyBorder="1" applyFont="1"/>
    <xf borderId="8" fillId="0" fontId="2" numFmtId="0" xfId="0" applyBorder="1" applyFont="1"/>
    <xf borderId="0" fillId="0" fontId="10" numFmtId="0" xfId="0" applyAlignment="1" applyFont="1">
      <alignment horizontal="left" readingOrder="0"/>
    </xf>
    <xf borderId="6" fillId="6" fontId="11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right" vertical="center"/>
    </xf>
    <xf borderId="6" fillId="0" fontId="12" numFmtId="0" xfId="0" applyAlignment="1" applyBorder="1" applyFont="1">
      <alignment horizontal="left" vertical="center"/>
    </xf>
    <xf borderId="6" fillId="8" fontId="12" numFmtId="0" xfId="0" applyAlignment="1" applyBorder="1" applyFont="1">
      <alignment horizontal="right" vertical="center"/>
    </xf>
    <xf borderId="6" fillId="8" fontId="12" numFmtId="0" xfId="0" applyAlignment="1" applyBorder="1" applyFont="1">
      <alignment horizontal="left" vertical="center"/>
    </xf>
    <xf borderId="6" fillId="0" fontId="12" numFmtId="0" xfId="0" applyAlignment="1" applyBorder="1" applyFont="1">
      <alignment horizontal="left" readingOrder="0" vertical="center"/>
    </xf>
    <xf borderId="6" fillId="6" fontId="11" numFmtId="0" xfId="0" applyAlignment="1" applyBorder="1" applyFont="1">
      <alignment horizontal="center" readingOrder="0" shrinkToFit="0" vertical="center" wrapText="1"/>
    </xf>
    <xf borderId="6" fillId="0" fontId="12" numFmtId="166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horizontal="center"/>
    </xf>
    <xf borderId="6" fillId="0" fontId="12" numFmtId="4" xfId="0" applyAlignment="1" applyBorder="1" applyFont="1" applyNumberFormat="1">
      <alignment horizontal="right" vertical="center"/>
    </xf>
    <xf borderId="6" fillId="8" fontId="12" numFmtId="166" xfId="0" applyAlignment="1" applyBorder="1" applyFont="1" applyNumberFormat="1">
      <alignment horizontal="center" vertical="center"/>
    </xf>
    <xf borderId="6" fillId="8" fontId="12" numFmtId="0" xfId="0" applyAlignment="1" applyBorder="1" applyFont="1">
      <alignment horizontal="center"/>
    </xf>
    <xf borderId="6" fillId="8" fontId="12" numFmtId="0" xfId="0" applyAlignment="1" applyBorder="1" applyFont="1">
      <alignment horizontal="left" readingOrder="0" vertical="center"/>
    </xf>
    <xf borderId="6" fillId="8" fontId="12" numFmtId="4" xfId="0" applyAlignment="1" applyBorder="1" applyFont="1" applyNumberFormat="1">
      <alignment horizontal="right" vertical="center"/>
    </xf>
    <xf borderId="6" fillId="0" fontId="12" numFmtId="3" xfId="0" applyAlignment="1" applyBorder="1" applyFont="1" applyNumberFormat="1">
      <alignment horizontal="right" vertical="center"/>
    </xf>
    <xf borderId="6" fillId="8" fontId="12" numFmtId="3" xfId="0" applyAlignment="1" applyBorder="1" applyFont="1" applyNumberFormat="1">
      <alignment horizontal="right" vertical="center"/>
    </xf>
    <xf borderId="6" fillId="0" fontId="12" numFmtId="167" xfId="0" applyAlignment="1" applyBorder="1" applyFont="1" applyNumberFormat="1">
      <alignment horizontal="right" vertical="center"/>
    </xf>
    <xf borderId="6" fillId="8" fontId="12" numFmtId="167" xfId="0" applyAlignment="1" applyBorder="1" applyFont="1" applyNumberFormat="1">
      <alignment horizontal="right" vertical="center"/>
    </xf>
    <xf borderId="6" fillId="0" fontId="12" numFmtId="164" xfId="0" applyAlignment="1" applyBorder="1" applyFont="1" applyNumberFormat="1">
      <alignment horizontal="right" vertical="center"/>
    </xf>
    <xf borderId="6" fillId="8" fontId="12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69BD"/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4.0"/>
    <col customWidth="1" min="3" max="4" width="16.0"/>
    <col customWidth="1" min="5" max="5" width="2.0"/>
    <col customWidth="1" min="6" max="6" width="18.0"/>
    <col customWidth="1" min="7" max="7" width="14.0"/>
    <col customWidth="1" min="8" max="8" width="16.0"/>
    <col customWidth="1" min="9" max="26" width="8.71"/>
  </cols>
  <sheetData>
    <row r="1" ht="9.75" customHeight="1"/>
    <row r="2" ht="27.75" customHeight="1">
      <c r="A2" s="1" t="s">
        <v>0</v>
      </c>
      <c r="B2" s="2"/>
      <c r="C2" s="2"/>
      <c r="D2" s="2"/>
      <c r="E2" s="2"/>
      <c r="F2" s="2"/>
      <c r="G2" s="2"/>
      <c r="H2" s="3"/>
    </row>
    <row r="3">
      <c r="A3" s="4" t="s">
        <v>1</v>
      </c>
    </row>
    <row r="5" ht="15.75" customHeight="1"/>
    <row r="6" ht="21.75" customHeight="1">
      <c r="A6" s="5" t="s">
        <v>2</v>
      </c>
      <c r="B6" s="5" t="s">
        <v>3</v>
      </c>
      <c r="C6" s="5" t="s">
        <v>4</v>
      </c>
      <c r="D6" s="5" t="s">
        <v>5</v>
      </c>
      <c r="F6" s="5" t="s">
        <v>6</v>
      </c>
      <c r="G6" s="5" t="s">
        <v>7</v>
      </c>
      <c r="H6" s="5" t="s">
        <v>8</v>
      </c>
    </row>
    <row r="7" ht="25.5" customHeight="1">
      <c r="A7" s="6">
        <f>COUNTA(Employees!A2:A152)</f>
        <v>151</v>
      </c>
      <c r="B7" s="6">
        <f>COUNTIF(Projects!F2:F16,"Active")</f>
        <v>9</v>
      </c>
      <c r="C7" s="6">
        <f>COUNTA('Skills Catalog'!A2:A41)</f>
        <v>40</v>
      </c>
      <c r="D7" s="6">
        <f>COUNTA(Certifications!A2:A108)</f>
        <v>107</v>
      </c>
      <c r="F7" s="7">
        <f>ROUND(AVERAGE(Employees!AD2:AD152),1)</f>
        <v>3.3</v>
      </c>
      <c r="G7" s="6">
        <f>COUNTIF(Employees!U2:U999,"Active")</f>
        <v>142</v>
      </c>
      <c r="H7" s="6">
        <f>COUNTA('Training Records'!A2:A454)</f>
        <v>453</v>
      </c>
    </row>
    <row r="9" ht="21.75" customHeight="1">
      <c r="A9" s="8" t="s">
        <v>9</v>
      </c>
      <c r="B9" s="2"/>
      <c r="C9" s="2"/>
      <c r="D9" s="2"/>
      <c r="E9" s="2"/>
      <c r="F9" s="2"/>
      <c r="G9" s="2"/>
      <c r="H9" s="3"/>
    </row>
    <row r="10">
      <c r="A10" s="9" t="s">
        <v>10</v>
      </c>
      <c r="B10" s="9" t="s">
        <v>11</v>
      </c>
      <c r="C10" s="9" t="s">
        <v>12</v>
      </c>
      <c r="D10" s="9" t="s">
        <v>13</v>
      </c>
      <c r="F10" s="9" t="s">
        <v>14</v>
      </c>
      <c r="G10" s="9" t="s">
        <v>15</v>
      </c>
      <c r="H10" s="9" t="s">
        <v>12</v>
      </c>
    </row>
    <row r="11" ht="18.0" customHeight="1">
      <c r="A11" s="10" t="s">
        <v>16</v>
      </c>
      <c r="B11" s="11" t="s">
        <v>17</v>
      </c>
      <c r="C11" s="12">
        <f>COUNTIF(Employees!$H:$H,1)</f>
        <v>1</v>
      </c>
      <c r="D11" s="13">
        <f>IF(B7&gt;0,C11/B7,0)</f>
        <v>0.1111111111</v>
      </c>
      <c r="F11" s="10" t="s">
        <v>18</v>
      </c>
      <c r="G11" s="11" t="s">
        <v>19</v>
      </c>
      <c r="H11" s="12">
        <f>COUNTIF(Employees!$L:$L,"DEPT001")</f>
        <v>47</v>
      </c>
    </row>
    <row r="12" ht="18.0" customHeight="1">
      <c r="A12" s="14" t="s">
        <v>20</v>
      </c>
      <c r="B12" s="15" t="s">
        <v>21</v>
      </c>
      <c r="C12" s="16">
        <f>COUNTIF(Employees!$H:$H,2)</f>
        <v>1</v>
      </c>
      <c r="D12" s="17">
        <f>IF(B7&gt;0,C12/B7,0)</f>
        <v>0.1111111111</v>
      </c>
      <c r="F12" s="14" t="s">
        <v>22</v>
      </c>
      <c r="G12" s="15" t="s">
        <v>23</v>
      </c>
      <c r="H12" s="16">
        <f>COUNTIF(Employees!$L:$L,"DEPT002")</f>
        <v>24</v>
      </c>
    </row>
    <row r="13" ht="18.0" customHeight="1">
      <c r="A13" s="10" t="s">
        <v>24</v>
      </c>
      <c r="B13" s="11" t="s">
        <v>25</v>
      </c>
      <c r="C13" s="12">
        <f>COUNTIF(Employees!$H:$H,3)</f>
        <v>1</v>
      </c>
      <c r="D13" s="13">
        <f>IF(B7&gt;0,C13/B7,0)</f>
        <v>0.1111111111</v>
      </c>
      <c r="F13" s="10" t="s">
        <v>26</v>
      </c>
      <c r="G13" s="11" t="s">
        <v>27</v>
      </c>
      <c r="H13" s="12">
        <f>COUNTIF(Employees!$L:$L,"DEPT003")</f>
        <v>9</v>
      </c>
    </row>
    <row r="14" ht="18.0" customHeight="1">
      <c r="A14" s="14" t="s">
        <v>28</v>
      </c>
      <c r="B14" s="15" t="s">
        <v>29</v>
      </c>
      <c r="C14" s="16">
        <f>COUNTIF(Employees!$H:$H,4)</f>
        <v>3</v>
      </c>
      <c r="D14" s="17">
        <f>IF(B7&gt;0,C14/B7,0)</f>
        <v>0.3333333333</v>
      </c>
      <c r="F14" s="14" t="s">
        <v>30</v>
      </c>
      <c r="G14" s="15" t="s">
        <v>31</v>
      </c>
      <c r="H14" s="16">
        <f>COUNTIF(Employees!$L:$L,"DEPT004")</f>
        <v>12</v>
      </c>
    </row>
    <row r="15" ht="18.0" customHeight="1">
      <c r="A15" s="10" t="s">
        <v>32</v>
      </c>
      <c r="B15" s="11" t="s">
        <v>33</v>
      </c>
      <c r="C15" s="12">
        <f>COUNTIF(Employees!$H:$H,5)</f>
        <v>5</v>
      </c>
      <c r="D15" s="13">
        <f>IF(B7&gt;0,C15/B7,0)</f>
        <v>0.5555555556</v>
      </c>
      <c r="F15" s="10" t="s">
        <v>34</v>
      </c>
      <c r="G15" s="11" t="s">
        <v>35</v>
      </c>
      <c r="H15" s="12">
        <f>COUNTIF(Employees!$L:$L,"DEPT005")</f>
        <v>14</v>
      </c>
    </row>
    <row r="16" ht="18.0" customHeight="1">
      <c r="A16" s="14" t="s">
        <v>36</v>
      </c>
      <c r="B16" s="15" t="s">
        <v>37</v>
      </c>
      <c r="C16" s="16">
        <f>COUNTIF(Employees!$H:$H,6)</f>
        <v>8</v>
      </c>
      <c r="D16" s="17">
        <f>IF(B7&gt;0,C16/B7,0)</f>
        <v>0.8888888889</v>
      </c>
      <c r="F16" s="14" t="s">
        <v>38</v>
      </c>
      <c r="G16" s="15" t="s">
        <v>39</v>
      </c>
      <c r="H16" s="16">
        <f>COUNTIF(Employees!$L:$L,"DEPT006")</f>
        <v>8</v>
      </c>
    </row>
    <row r="17" ht="18.0" customHeight="1">
      <c r="A17" s="10" t="s">
        <v>40</v>
      </c>
      <c r="B17" s="11" t="s">
        <v>41</v>
      </c>
      <c r="C17" s="12">
        <f>COUNTIF(Employees!$H:$H,7)</f>
        <v>12</v>
      </c>
      <c r="D17" s="13">
        <f>IF(B7&gt;0,C17/B7,0)</f>
        <v>1.333333333</v>
      </c>
      <c r="F17" s="10" t="s">
        <v>42</v>
      </c>
      <c r="G17" s="11" t="s">
        <v>43</v>
      </c>
      <c r="H17" s="12">
        <f>COUNTIF(Employees!$L:$L,"DEPT007")</f>
        <v>5</v>
      </c>
    </row>
    <row r="18" ht="18.0" customHeight="1">
      <c r="A18" s="14" t="s">
        <v>44</v>
      </c>
      <c r="B18" s="15" t="s">
        <v>45</v>
      </c>
      <c r="C18" s="16">
        <f>COUNTIF(Employees!$H:$H,8)</f>
        <v>15</v>
      </c>
      <c r="D18" s="17">
        <f>IF(B7&gt;0,C18/B7,0)</f>
        <v>1.666666667</v>
      </c>
      <c r="F18" s="14" t="s">
        <v>46</v>
      </c>
      <c r="G18" s="15" t="s">
        <v>47</v>
      </c>
      <c r="H18" s="16">
        <f>COUNTIF(Employees!$L:$L,"DEPT008")</f>
        <v>6</v>
      </c>
    </row>
    <row r="19" ht="18.0" customHeight="1">
      <c r="A19" s="10" t="s">
        <v>48</v>
      </c>
      <c r="B19" s="11" t="s">
        <v>49</v>
      </c>
      <c r="C19" s="12">
        <f>COUNTIF(Employees!$H:$H,9)</f>
        <v>20</v>
      </c>
      <c r="D19" s="13">
        <f>IF(B7&gt;0,C19/B7,0)</f>
        <v>2.222222222</v>
      </c>
      <c r="F19" s="10" t="s">
        <v>50</v>
      </c>
      <c r="G19" s="11" t="s">
        <v>51</v>
      </c>
      <c r="H19" s="12">
        <f>COUNTIF(Employees!$L:$L,"DEPT009")</f>
        <v>13</v>
      </c>
    </row>
    <row r="20" ht="18.0" customHeight="1">
      <c r="A20" s="14" t="s">
        <v>52</v>
      </c>
      <c r="B20" s="15" t="s">
        <v>53</v>
      </c>
      <c r="C20" s="16">
        <f>COUNTIF(Employees!$H:$H,10)</f>
        <v>25</v>
      </c>
      <c r="D20" s="17">
        <f>IF(B7&gt;0,C20/B7,0)</f>
        <v>2.777777778</v>
      </c>
      <c r="F20" s="14" t="s">
        <v>54</v>
      </c>
      <c r="G20" s="15" t="s">
        <v>55</v>
      </c>
      <c r="H20" s="16">
        <f>COUNTIF(Employees!$L:$L,"DEPT010")</f>
        <v>13</v>
      </c>
    </row>
    <row r="21" ht="18.0" customHeight="1">
      <c r="A21" s="10" t="s">
        <v>56</v>
      </c>
      <c r="B21" s="11" t="s">
        <v>57</v>
      </c>
      <c r="C21" s="12">
        <f>COUNTIF(Employees!$H:$H,11)</f>
        <v>30</v>
      </c>
      <c r="D21" s="13">
        <f>IF(B7&gt;0,C21/B7,0)</f>
        <v>3.333333333</v>
      </c>
      <c r="F21" s="18" t="s">
        <v>58</v>
      </c>
      <c r="H21" s="19">
        <f>SUM(H11:H20)</f>
        <v>151</v>
      </c>
    </row>
    <row r="22" ht="18.0" customHeight="1">
      <c r="A22" s="14" t="s">
        <v>59</v>
      </c>
      <c r="B22" s="15" t="s">
        <v>60</v>
      </c>
      <c r="C22" s="16">
        <f>COUNTIF(Employees!$H:$H,12)</f>
        <v>30</v>
      </c>
      <c r="D22" s="17">
        <f>IF(B7&gt;0,C22/B7,0)</f>
        <v>3.333333333</v>
      </c>
    </row>
    <row r="23" ht="19.5" customHeight="1">
      <c r="A23" s="20" t="s">
        <v>58</v>
      </c>
      <c r="B23" s="21"/>
      <c r="C23" s="19">
        <f>SUM(C11:C22)</f>
        <v>151</v>
      </c>
    </row>
    <row r="24" ht="15.75" customHeight="1"/>
    <row r="25" ht="15.75" customHeight="1"/>
    <row r="26" ht="21.75" customHeight="1">
      <c r="A26" s="8" t="s">
        <v>61</v>
      </c>
      <c r="B26" s="2"/>
      <c r="C26" s="2"/>
      <c r="D26" s="2"/>
      <c r="E26" s="2"/>
      <c r="F26" s="2"/>
      <c r="G26" s="2"/>
      <c r="H26" s="3"/>
    </row>
    <row r="27" ht="15.75" customHeight="1">
      <c r="A27" s="9" t="s">
        <v>62</v>
      </c>
      <c r="B27" s="9" t="s">
        <v>63</v>
      </c>
      <c r="C27" s="9" t="s">
        <v>64</v>
      </c>
    </row>
    <row r="28" ht="18.0" customHeight="1">
      <c r="A28" s="10" t="s">
        <v>65</v>
      </c>
      <c r="B28" s="12">
        <f>COUNTIF(Projects!$F:$F,"Active")</f>
        <v>9</v>
      </c>
      <c r="C28" s="12">
        <f>SUMIF(Projects!$F:$F,"Active",Projects!$J:$J)</f>
        <v>634000000</v>
      </c>
    </row>
    <row r="29" ht="18.0" customHeight="1">
      <c r="A29" s="14" t="s">
        <v>66</v>
      </c>
      <c r="B29" s="16">
        <f>COUNTIF(Projects!$F:$F,"Completed")</f>
        <v>6</v>
      </c>
      <c r="C29" s="16">
        <f>SUMIF(Projects!$F:$F,"Completed",Projects!$J:$J)</f>
        <v>369000000</v>
      </c>
    </row>
    <row r="30" ht="18.0" customHeight="1">
      <c r="A30" s="10" t="s">
        <v>67</v>
      </c>
      <c r="B30" s="12">
        <f>COUNTIF(Projects!$F:$F,"On Hold")</f>
        <v>0</v>
      </c>
      <c r="C30" s="12">
        <f>SUMIF(Projects!$F:$F,"On Hold",Projects!$J:$J)</f>
        <v>0</v>
      </c>
    </row>
    <row r="31" ht="18.0" customHeight="1">
      <c r="A31" s="14" t="s">
        <v>68</v>
      </c>
      <c r="B31" s="16">
        <f>COUNTIF(Projects!$F:$F,"Cancelled")</f>
        <v>0</v>
      </c>
      <c r="C31" s="16">
        <f>SUMIF(Projects!$F:$F,"Cancelled",Projects!$J:$J)</f>
        <v>0</v>
      </c>
    </row>
    <row r="32" ht="15.75" customHeight="1"/>
    <row r="33" ht="21.75" customHeight="1">
      <c r="A33" s="8" t="s">
        <v>69</v>
      </c>
      <c r="B33" s="2"/>
      <c r="C33" s="2"/>
      <c r="D33" s="2"/>
      <c r="E33" s="2"/>
      <c r="F33" s="2"/>
      <c r="G33" s="2"/>
      <c r="H33" s="3"/>
    </row>
    <row r="34" ht="15.75" customHeight="1">
      <c r="A34" s="9" t="s">
        <v>70</v>
      </c>
      <c r="B34" s="9" t="s">
        <v>63</v>
      </c>
      <c r="D34" s="9" t="s">
        <v>71</v>
      </c>
      <c r="E34" s="9" t="s">
        <v>63</v>
      </c>
    </row>
    <row r="35" ht="18.0" customHeight="1">
      <c r="A35" s="10" t="s">
        <v>65</v>
      </c>
      <c r="B35" s="12">
        <f>COUNTIF(Employees!$U:$U,"Active")</f>
        <v>142</v>
      </c>
      <c r="D35" s="10" t="s">
        <v>72</v>
      </c>
      <c r="E35" s="12">
        <f>COUNTIF(Employees!$AB:$AB,"Hybrid")</f>
        <v>84</v>
      </c>
    </row>
    <row r="36" ht="18.0" customHeight="1">
      <c r="A36" s="14" t="s">
        <v>73</v>
      </c>
      <c r="B36" s="16">
        <f>COUNTIF(Employees!$U:$U,"On Leave")</f>
        <v>6</v>
      </c>
      <c r="D36" s="14" t="s">
        <v>74</v>
      </c>
      <c r="E36" s="16">
        <f>COUNTIF(Employees!$AB:$AB,"Remote")</f>
        <v>36</v>
      </c>
    </row>
    <row r="37" ht="18.0" customHeight="1">
      <c r="A37" s="10" t="s">
        <v>75</v>
      </c>
      <c r="B37" s="12">
        <f>COUNTIF(Employees!$U:$U,"Notice Period")</f>
        <v>3</v>
      </c>
      <c r="D37" s="10" t="s">
        <v>76</v>
      </c>
      <c r="E37" s="12">
        <f>COUNTIF(Employees!$AB:$AB,"On-site")</f>
        <v>31</v>
      </c>
    </row>
    <row r="38" ht="18.0" customHeight="1">
      <c r="A38" s="14" t="s">
        <v>77</v>
      </c>
      <c r="B38" s="16">
        <f>COUNTIF(Employees!$U:$U,"Terminated")</f>
        <v>0</v>
      </c>
    </row>
    <row r="39" ht="15.75" customHeight="1"/>
    <row r="40" ht="21.75" customHeight="1">
      <c r="A40" s="8" t="s">
        <v>78</v>
      </c>
      <c r="B40" s="2"/>
      <c r="C40" s="2"/>
      <c r="D40" s="2"/>
      <c r="E40" s="2"/>
      <c r="F40" s="2"/>
      <c r="G40" s="2"/>
      <c r="H40" s="3"/>
    </row>
    <row r="41" ht="15.75" customHeight="1">
      <c r="A41" s="9" t="s">
        <v>79</v>
      </c>
      <c r="B41" s="9" t="s">
        <v>80</v>
      </c>
      <c r="C41" s="9" t="s">
        <v>81</v>
      </c>
      <c r="D41" s="9" t="s">
        <v>12</v>
      </c>
    </row>
    <row r="42" ht="18.0" customHeight="1">
      <c r="A42" s="10" t="s">
        <v>82</v>
      </c>
      <c r="B42" s="11" t="s">
        <v>83</v>
      </c>
      <c r="C42" s="11" t="s">
        <v>84</v>
      </c>
      <c r="D42" s="12">
        <f>COUNTIF(Employees!$M:$M,"OFF001")</f>
        <v>12</v>
      </c>
    </row>
    <row r="43" ht="18.0" customHeight="1">
      <c r="A43" s="14" t="s">
        <v>85</v>
      </c>
      <c r="B43" s="15" t="s">
        <v>83</v>
      </c>
      <c r="C43" s="15" t="s">
        <v>84</v>
      </c>
      <c r="D43" s="16">
        <f>COUNTIF(Employees!$M:$M,"OFF002")</f>
        <v>37</v>
      </c>
    </row>
    <row r="44" ht="18.0" customHeight="1">
      <c r="A44" s="10" t="s">
        <v>86</v>
      </c>
      <c r="B44" s="11" t="s">
        <v>83</v>
      </c>
      <c r="C44" s="11" t="s">
        <v>84</v>
      </c>
      <c r="D44" s="12">
        <f>COUNTIF(Employees!$M:$M,"OFF003")</f>
        <v>16</v>
      </c>
    </row>
    <row r="45" ht="18.0" customHeight="1">
      <c r="A45" s="14" t="s">
        <v>87</v>
      </c>
      <c r="B45" s="15" t="s">
        <v>83</v>
      </c>
      <c r="C45" s="15" t="s">
        <v>84</v>
      </c>
      <c r="D45" s="16">
        <f>COUNTIF(Employees!$M:$M,"OFF004")</f>
        <v>24</v>
      </c>
    </row>
    <row r="46" ht="18.0" customHeight="1">
      <c r="A46" s="10" t="s">
        <v>88</v>
      </c>
      <c r="B46" s="11" t="s">
        <v>83</v>
      </c>
      <c r="C46" s="11" t="s">
        <v>84</v>
      </c>
      <c r="D46" s="12">
        <f>COUNTIF(Employees!$M:$M,"OFF005")</f>
        <v>27</v>
      </c>
    </row>
    <row r="47" ht="18.0" customHeight="1">
      <c r="A47" s="14" t="s">
        <v>89</v>
      </c>
      <c r="B47" s="15" t="s">
        <v>90</v>
      </c>
      <c r="C47" s="15" t="s">
        <v>91</v>
      </c>
      <c r="D47" s="16">
        <f>COUNTIF(Employees!$M:$M,"OFF006")</f>
        <v>12</v>
      </c>
    </row>
    <row r="48" ht="18.0" customHeight="1">
      <c r="A48" s="10" t="s">
        <v>92</v>
      </c>
      <c r="B48" s="11" t="s">
        <v>93</v>
      </c>
      <c r="C48" s="11" t="s">
        <v>94</v>
      </c>
      <c r="D48" s="12">
        <f>COUNTIF(Employees!$M:$M,"OFF007")</f>
        <v>8</v>
      </c>
    </row>
    <row r="49" ht="18.0" customHeight="1">
      <c r="A49" s="14" t="s">
        <v>95</v>
      </c>
      <c r="B49" s="15" t="s">
        <v>95</v>
      </c>
      <c r="C49" s="15" t="s">
        <v>84</v>
      </c>
      <c r="D49" s="16">
        <f>COUNTIF(Employees!$M:$M,"OFF008")</f>
        <v>5</v>
      </c>
    </row>
    <row r="50" ht="18.0" customHeight="1">
      <c r="A50" s="10" t="s">
        <v>96</v>
      </c>
      <c r="B50" s="11" t="s">
        <v>97</v>
      </c>
      <c r="C50" s="11" t="s">
        <v>84</v>
      </c>
      <c r="D50" s="12">
        <f>COUNTIF(Employees!$M:$M,"OFF009")</f>
        <v>3</v>
      </c>
    </row>
    <row r="51" ht="18.0" customHeight="1">
      <c r="A51" s="14" t="s">
        <v>98</v>
      </c>
      <c r="B51" s="15" t="s">
        <v>99</v>
      </c>
      <c r="C51" s="15" t="s">
        <v>94</v>
      </c>
      <c r="D51" s="16">
        <f>COUNTIF(Employees!$M:$M,"OFF010")</f>
        <v>7</v>
      </c>
    </row>
    <row r="52" ht="15.75" customHeight="1"/>
    <row r="53" ht="15.75" customHeight="1">
      <c r="A53" s="22" t="s">
        <v>100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2:H2"/>
    <mergeCell ref="A3:H3"/>
    <mergeCell ref="A9:H9"/>
    <mergeCell ref="A23:B23"/>
    <mergeCell ref="A26:H26"/>
    <mergeCell ref="A33:H33"/>
    <mergeCell ref="A40:H40"/>
    <mergeCell ref="A53:H5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99C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4.0"/>
    <col customWidth="1" min="3" max="3" width="28.0"/>
    <col customWidth="1" min="4" max="4" width="14.0"/>
    <col customWidth="1" min="5" max="5" width="22.0"/>
    <col customWidth="1" min="6" max="6" width="26.0"/>
    <col customWidth="1" min="7" max="7" width="55.0"/>
    <col customWidth="1" min="8" max="26" width="8.71"/>
  </cols>
  <sheetData>
    <row r="1" ht="30.0" customHeight="1">
      <c r="A1" s="23" t="s">
        <v>101</v>
      </c>
      <c r="B1" s="23" t="s">
        <v>102</v>
      </c>
      <c r="C1" s="23" t="s">
        <v>11</v>
      </c>
      <c r="D1" s="23" t="s">
        <v>103</v>
      </c>
      <c r="E1" s="23" t="s">
        <v>104</v>
      </c>
      <c r="F1" s="23" t="s">
        <v>105</v>
      </c>
      <c r="G1" s="23" t="s">
        <v>106</v>
      </c>
    </row>
    <row r="2">
      <c r="A2" s="24">
        <v>1.0</v>
      </c>
      <c r="B2" s="25" t="s">
        <v>107</v>
      </c>
      <c r="C2" s="25" t="s">
        <v>17</v>
      </c>
      <c r="D2" s="24">
        <v>25.0</v>
      </c>
      <c r="E2" s="25" t="s">
        <v>108</v>
      </c>
      <c r="F2" s="25" t="s">
        <v>109</v>
      </c>
      <c r="G2" s="25" t="s">
        <v>110</v>
      </c>
    </row>
    <row r="3">
      <c r="A3" s="26">
        <v>2.0</v>
      </c>
      <c r="B3" s="27" t="s">
        <v>107</v>
      </c>
      <c r="C3" s="27" t="s">
        <v>21</v>
      </c>
      <c r="D3" s="26">
        <v>22.0</v>
      </c>
      <c r="E3" s="27" t="s">
        <v>108</v>
      </c>
      <c r="F3" s="27" t="s">
        <v>111</v>
      </c>
      <c r="G3" s="27" t="s">
        <v>112</v>
      </c>
    </row>
    <row r="4">
      <c r="A4" s="24">
        <v>3.0</v>
      </c>
      <c r="B4" s="25" t="s">
        <v>107</v>
      </c>
      <c r="C4" s="25" t="s">
        <v>25</v>
      </c>
      <c r="D4" s="24">
        <v>20.0</v>
      </c>
      <c r="E4" s="25" t="s">
        <v>113</v>
      </c>
      <c r="F4" s="25" t="s">
        <v>114</v>
      </c>
      <c r="G4" s="25" t="s">
        <v>115</v>
      </c>
    </row>
    <row r="5">
      <c r="A5" s="26">
        <v>4.0</v>
      </c>
      <c r="B5" s="27" t="s">
        <v>29</v>
      </c>
      <c r="C5" s="27" t="s">
        <v>29</v>
      </c>
      <c r="D5" s="26">
        <v>17.0</v>
      </c>
      <c r="E5" s="27" t="s">
        <v>116</v>
      </c>
      <c r="F5" s="27" t="s">
        <v>117</v>
      </c>
      <c r="G5" s="27" t="s">
        <v>118</v>
      </c>
    </row>
    <row r="6">
      <c r="A6" s="24">
        <v>5.0</v>
      </c>
      <c r="B6" s="25" t="s">
        <v>33</v>
      </c>
      <c r="C6" s="25" t="s">
        <v>33</v>
      </c>
      <c r="D6" s="24">
        <v>14.0</v>
      </c>
      <c r="E6" s="25" t="s">
        <v>119</v>
      </c>
      <c r="F6" s="25" t="s">
        <v>120</v>
      </c>
      <c r="G6" s="25" t="s">
        <v>121</v>
      </c>
    </row>
    <row r="7">
      <c r="A7" s="26">
        <v>6.0</v>
      </c>
      <c r="B7" s="27" t="s">
        <v>37</v>
      </c>
      <c r="C7" s="27" t="s">
        <v>37</v>
      </c>
      <c r="D7" s="26">
        <v>11.0</v>
      </c>
      <c r="E7" s="27" t="s">
        <v>122</v>
      </c>
      <c r="F7" s="27" t="s">
        <v>123</v>
      </c>
      <c r="G7" s="27" t="s">
        <v>124</v>
      </c>
    </row>
    <row r="8">
      <c r="A8" s="24">
        <v>7.0</v>
      </c>
      <c r="B8" s="25" t="s">
        <v>41</v>
      </c>
      <c r="C8" s="25" t="s">
        <v>41</v>
      </c>
      <c r="D8" s="24">
        <v>8.0</v>
      </c>
      <c r="E8" s="25" t="s">
        <v>125</v>
      </c>
      <c r="F8" s="25" t="s">
        <v>126</v>
      </c>
      <c r="G8" s="25" t="s">
        <v>127</v>
      </c>
    </row>
    <row r="9">
      <c r="A9" s="26">
        <v>8.0</v>
      </c>
      <c r="B9" s="27" t="s">
        <v>45</v>
      </c>
      <c r="C9" s="27" t="s">
        <v>45</v>
      </c>
      <c r="D9" s="26">
        <v>6.0</v>
      </c>
      <c r="E9" s="27" t="s">
        <v>128</v>
      </c>
      <c r="F9" s="27" t="s">
        <v>129</v>
      </c>
      <c r="G9" s="27" t="s">
        <v>130</v>
      </c>
    </row>
    <row r="10">
      <c r="A10" s="24">
        <v>9.0</v>
      </c>
      <c r="B10" s="25" t="s">
        <v>131</v>
      </c>
      <c r="C10" s="25" t="s">
        <v>49</v>
      </c>
      <c r="D10" s="24">
        <v>4.0</v>
      </c>
      <c r="E10" s="25" t="s">
        <v>132</v>
      </c>
      <c r="F10" s="25" t="s">
        <v>133</v>
      </c>
      <c r="G10" s="25" t="s">
        <v>134</v>
      </c>
    </row>
    <row r="11">
      <c r="A11" s="26">
        <v>10.0</v>
      </c>
      <c r="B11" s="27" t="s">
        <v>53</v>
      </c>
      <c r="C11" s="27" t="s">
        <v>53</v>
      </c>
      <c r="D11" s="26">
        <v>3.0</v>
      </c>
      <c r="E11" s="27" t="s">
        <v>135</v>
      </c>
      <c r="F11" s="27" t="s">
        <v>136</v>
      </c>
      <c r="G11" s="27" t="s">
        <v>137</v>
      </c>
    </row>
    <row r="12">
      <c r="A12" s="24">
        <v>11.0</v>
      </c>
      <c r="B12" s="25" t="s">
        <v>57</v>
      </c>
      <c r="C12" s="25" t="s">
        <v>57</v>
      </c>
      <c r="D12" s="24">
        <v>1.0</v>
      </c>
      <c r="E12" s="25" t="s">
        <v>135</v>
      </c>
      <c r="F12" s="25" t="s">
        <v>136</v>
      </c>
      <c r="G12" s="25" t="s">
        <v>138</v>
      </c>
    </row>
    <row r="13">
      <c r="A13" s="26">
        <v>12.0</v>
      </c>
      <c r="B13" s="27" t="s">
        <v>60</v>
      </c>
      <c r="C13" s="27" t="s">
        <v>60</v>
      </c>
      <c r="D13" s="26">
        <v>0.0</v>
      </c>
      <c r="E13" s="27" t="s">
        <v>135</v>
      </c>
      <c r="F13" s="27" t="s">
        <v>136</v>
      </c>
      <c r="G13" s="27" t="s">
        <v>139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99C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6.0"/>
    <col customWidth="1" min="3" max="3" width="20.0"/>
    <col customWidth="1" min="4" max="4" width="24.0"/>
    <col customWidth="1" min="5" max="5" width="16.0"/>
    <col customWidth="1" min="6" max="6" width="20.0"/>
    <col customWidth="1" min="7" max="7" width="24.0"/>
    <col customWidth="1" min="8" max="26" width="8.71"/>
  </cols>
  <sheetData>
    <row r="1" ht="30.0" customHeight="1">
      <c r="A1" s="23" t="s">
        <v>140</v>
      </c>
      <c r="B1" s="23" t="s">
        <v>141</v>
      </c>
      <c r="C1" s="23" t="s">
        <v>142</v>
      </c>
      <c r="D1" s="23" t="s">
        <v>143</v>
      </c>
      <c r="E1" s="23" t="s">
        <v>144</v>
      </c>
      <c r="F1" s="23" t="s">
        <v>145</v>
      </c>
      <c r="G1" s="23" t="s">
        <v>146</v>
      </c>
    </row>
    <row r="2">
      <c r="A2" s="25" t="s">
        <v>19</v>
      </c>
      <c r="B2" s="25" t="s">
        <v>18</v>
      </c>
      <c r="C2" s="25" t="s">
        <v>147</v>
      </c>
      <c r="D2" s="25" t="s">
        <v>148</v>
      </c>
      <c r="E2" s="25" t="s">
        <v>149</v>
      </c>
      <c r="F2" s="25" t="s">
        <v>150</v>
      </c>
      <c r="G2" s="25" t="s">
        <v>148</v>
      </c>
    </row>
    <row r="3">
      <c r="A3" s="27" t="s">
        <v>23</v>
      </c>
      <c r="B3" s="27" t="s">
        <v>22</v>
      </c>
      <c r="C3" s="27" t="s">
        <v>147</v>
      </c>
      <c r="D3" s="27" t="s">
        <v>148</v>
      </c>
      <c r="E3" s="27" t="s">
        <v>151</v>
      </c>
      <c r="F3" s="27" t="s">
        <v>152</v>
      </c>
      <c r="G3" s="27" t="s">
        <v>148</v>
      </c>
    </row>
    <row r="4">
      <c r="A4" s="25" t="s">
        <v>27</v>
      </c>
      <c r="B4" s="25" t="s">
        <v>26</v>
      </c>
      <c r="C4" s="25" t="s">
        <v>147</v>
      </c>
      <c r="D4" s="25" t="s">
        <v>148</v>
      </c>
      <c r="E4" s="25" t="s">
        <v>153</v>
      </c>
      <c r="F4" s="25" t="s">
        <v>154</v>
      </c>
      <c r="G4" s="25" t="s">
        <v>148</v>
      </c>
    </row>
    <row r="5">
      <c r="A5" s="27" t="s">
        <v>31</v>
      </c>
      <c r="B5" s="27" t="s">
        <v>30</v>
      </c>
      <c r="C5" s="27" t="s">
        <v>155</v>
      </c>
      <c r="D5" s="27" t="s">
        <v>156</v>
      </c>
      <c r="E5" s="27" t="s">
        <v>157</v>
      </c>
      <c r="F5" s="27" t="s">
        <v>150</v>
      </c>
      <c r="G5" s="27" t="s">
        <v>156</v>
      </c>
    </row>
    <row r="6">
      <c r="A6" s="25" t="s">
        <v>35</v>
      </c>
      <c r="B6" s="25" t="s">
        <v>34</v>
      </c>
      <c r="C6" s="25" t="s">
        <v>158</v>
      </c>
      <c r="D6" s="25" t="s">
        <v>159</v>
      </c>
      <c r="E6" s="25" t="s">
        <v>160</v>
      </c>
      <c r="F6" s="25" t="s">
        <v>152</v>
      </c>
      <c r="G6" s="25" t="s">
        <v>159</v>
      </c>
    </row>
    <row r="7">
      <c r="A7" s="27" t="s">
        <v>39</v>
      </c>
      <c r="B7" s="27" t="s">
        <v>38</v>
      </c>
      <c r="C7" s="27" t="s">
        <v>161</v>
      </c>
      <c r="D7" s="27" t="s">
        <v>162</v>
      </c>
      <c r="E7" s="27" t="s">
        <v>163</v>
      </c>
      <c r="F7" s="27" t="s">
        <v>154</v>
      </c>
      <c r="G7" s="27" t="s">
        <v>162</v>
      </c>
    </row>
    <row r="8">
      <c r="A8" s="25" t="s">
        <v>43</v>
      </c>
      <c r="B8" s="25" t="s">
        <v>42</v>
      </c>
      <c r="C8" s="25" t="s">
        <v>161</v>
      </c>
      <c r="D8" s="25" t="s">
        <v>162</v>
      </c>
      <c r="E8" s="25" t="s">
        <v>164</v>
      </c>
      <c r="F8" s="25" t="s">
        <v>150</v>
      </c>
      <c r="G8" s="25" t="s">
        <v>162</v>
      </c>
    </row>
    <row r="9">
      <c r="A9" s="27" t="s">
        <v>47</v>
      </c>
      <c r="B9" s="27" t="s">
        <v>46</v>
      </c>
      <c r="C9" s="27" t="s">
        <v>161</v>
      </c>
      <c r="D9" s="27" t="s">
        <v>162</v>
      </c>
      <c r="E9" s="27" t="s">
        <v>165</v>
      </c>
      <c r="F9" s="27" t="s">
        <v>152</v>
      </c>
      <c r="G9" s="27" t="s">
        <v>162</v>
      </c>
    </row>
    <row r="10">
      <c r="A10" s="25" t="s">
        <v>51</v>
      </c>
      <c r="B10" s="25" t="s">
        <v>50</v>
      </c>
      <c r="C10" s="25" t="s">
        <v>166</v>
      </c>
      <c r="D10" s="25" t="s">
        <v>167</v>
      </c>
      <c r="E10" s="25" t="s">
        <v>168</v>
      </c>
      <c r="F10" s="25" t="s">
        <v>154</v>
      </c>
      <c r="G10" s="25" t="s">
        <v>167</v>
      </c>
    </row>
    <row r="11">
      <c r="A11" s="27" t="s">
        <v>55</v>
      </c>
      <c r="B11" s="27" t="s">
        <v>54</v>
      </c>
      <c r="C11" s="27" t="s">
        <v>147</v>
      </c>
      <c r="D11" s="27" t="s">
        <v>148</v>
      </c>
      <c r="E11" s="27" t="s">
        <v>169</v>
      </c>
      <c r="F11" s="27" t="s">
        <v>150</v>
      </c>
      <c r="G11" s="27" t="s">
        <v>148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99C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3.0"/>
    <col customWidth="1" min="3" max="3" width="12.0"/>
    <col customWidth="1" min="4" max="4" width="10.0"/>
    <col customWidth="1" min="5" max="5" width="45.0"/>
    <col customWidth="1" min="6" max="6" width="12.0"/>
    <col customWidth="1" min="7" max="7" width="20.0"/>
    <col customWidth="1" min="8" max="8" width="8.0"/>
    <col customWidth="1" min="9" max="9" width="18.0"/>
    <col customWidth="1" min="10" max="10" width="16.0"/>
    <col customWidth="1" min="11" max="26" width="8.71"/>
  </cols>
  <sheetData>
    <row r="1" ht="30.0" customHeight="1">
      <c r="A1" s="23" t="s">
        <v>170</v>
      </c>
      <c r="B1" s="23" t="s">
        <v>79</v>
      </c>
      <c r="C1" s="23" t="s">
        <v>80</v>
      </c>
      <c r="D1" s="23" t="s">
        <v>81</v>
      </c>
      <c r="E1" s="23" t="s">
        <v>171</v>
      </c>
      <c r="F1" s="23" t="s">
        <v>172</v>
      </c>
      <c r="G1" s="23" t="s">
        <v>173</v>
      </c>
      <c r="H1" s="23" t="s">
        <v>174</v>
      </c>
      <c r="I1" s="23" t="s">
        <v>175</v>
      </c>
      <c r="J1" s="23" t="s">
        <v>176</v>
      </c>
    </row>
    <row r="2">
      <c r="A2" s="25" t="s">
        <v>177</v>
      </c>
      <c r="B2" s="25" t="s">
        <v>82</v>
      </c>
      <c r="C2" s="25" t="s">
        <v>83</v>
      </c>
      <c r="D2" s="25" t="s">
        <v>84</v>
      </c>
      <c r="E2" s="28" t="s">
        <v>178</v>
      </c>
      <c r="F2" s="25" t="s">
        <v>179</v>
      </c>
      <c r="G2" s="25" t="s">
        <v>180</v>
      </c>
      <c r="H2" s="25" t="s">
        <v>181</v>
      </c>
      <c r="I2" s="25" t="s">
        <v>182</v>
      </c>
      <c r="J2" s="24">
        <v>12000.0</v>
      </c>
    </row>
    <row r="3">
      <c r="A3" s="27" t="s">
        <v>183</v>
      </c>
      <c r="B3" s="27" t="s">
        <v>85</v>
      </c>
      <c r="C3" s="27" t="s">
        <v>83</v>
      </c>
      <c r="D3" s="27" t="s">
        <v>84</v>
      </c>
      <c r="E3" s="27" t="s">
        <v>184</v>
      </c>
      <c r="F3" s="27" t="s">
        <v>185</v>
      </c>
      <c r="G3" s="27" t="s">
        <v>186</v>
      </c>
      <c r="H3" s="27" t="s">
        <v>187</v>
      </c>
      <c r="I3" s="27" t="s">
        <v>182</v>
      </c>
      <c r="J3" s="26">
        <v>18000.0</v>
      </c>
    </row>
    <row r="4">
      <c r="A4" s="25" t="s">
        <v>188</v>
      </c>
      <c r="B4" s="25" t="s">
        <v>86</v>
      </c>
      <c r="C4" s="25" t="s">
        <v>83</v>
      </c>
      <c r="D4" s="25" t="s">
        <v>84</v>
      </c>
      <c r="E4" s="25" t="s">
        <v>189</v>
      </c>
      <c r="F4" s="25" t="s">
        <v>190</v>
      </c>
      <c r="G4" s="25" t="s">
        <v>191</v>
      </c>
      <c r="H4" s="25" t="s">
        <v>187</v>
      </c>
      <c r="I4" s="25" t="s">
        <v>182</v>
      </c>
      <c r="J4" s="24">
        <v>10000.0</v>
      </c>
    </row>
    <row r="5">
      <c r="A5" s="27" t="s">
        <v>192</v>
      </c>
      <c r="B5" s="27" t="s">
        <v>87</v>
      </c>
      <c r="C5" s="27" t="s">
        <v>83</v>
      </c>
      <c r="D5" s="27" t="s">
        <v>84</v>
      </c>
      <c r="E5" s="27" t="s">
        <v>193</v>
      </c>
      <c r="F5" s="27" t="s">
        <v>194</v>
      </c>
      <c r="G5" s="27" t="s">
        <v>195</v>
      </c>
      <c r="H5" s="27" t="s">
        <v>187</v>
      </c>
      <c r="I5" s="27" t="s">
        <v>182</v>
      </c>
      <c r="J5" s="26">
        <v>8000.0</v>
      </c>
    </row>
    <row r="6">
      <c r="A6" s="25" t="s">
        <v>196</v>
      </c>
      <c r="B6" s="25" t="s">
        <v>88</v>
      </c>
      <c r="C6" s="25" t="s">
        <v>83</v>
      </c>
      <c r="D6" s="25" t="s">
        <v>84</v>
      </c>
      <c r="E6" s="25" t="s">
        <v>197</v>
      </c>
      <c r="F6" s="25" t="s">
        <v>198</v>
      </c>
      <c r="G6" s="25" t="s">
        <v>199</v>
      </c>
      <c r="H6" s="25" t="s">
        <v>187</v>
      </c>
      <c r="I6" s="25" t="s">
        <v>182</v>
      </c>
      <c r="J6" s="24">
        <v>9000.0</v>
      </c>
    </row>
    <row r="7">
      <c r="A7" s="27" t="s">
        <v>200</v>
      </c>
      <c r="B7" s="27" t="s">
        <v>89</v>
      </c>
      <c r="C7" s="27" t="s">
        <v>90</v>
      </c>
      <c r="D7" s="27" t="s">
        <v>91</v>
      </c>
      <c r="E7" s="27" t="s">
        <v>201</v>
      </c>
      <c r="F7" s="27" t="s">
        <v>202</v>
      </c>
      <c r="G7" s="27" t="s">
        <v>203</v>
      </c>
      <c r="H7" s="27" t="s">
        <v>187</v>
      </c>
      <c r="I7" s="27" t="s">
        <v>204</v>
      </c>
      <c r="J7" s="26">
        <v>5000.0</v>
      </c>
    </row>
    <row r="8">
      <c r="A8" s="25" t="s">
        <v>205</v>
      </c>
      <c r="B8" s="25" t="s">
        <v>92</v>
      </c>
      <c r="C8" s="25" t="s">
        <v>93</v>
      </c>
      <c r="D8" s="25" t="s">
        <v>94</v>
      </c>
      <c r="E8" s="25" t="s">
        <v>206</v>
      </c>
      <c r="F8" s="25" t="s">
        <v>207</v>
      </c>
      <c r="G8" s="25" t="s">
        <v>208</v>
      </c>
      <c r="H8" s="25" t="s">
        <v>187</v>
      </c>
      <c r="I8" s="25" t="s">
        <v>209</v>
      </c>
      <c r="J8" s="24">
        <v>4000.0</v>
      </c>
    </row>
    <row r="9">
      <c r="A9" s="27" t="s">
        <v>210</v>
      </c>
      <c r="B9" s="27" t="s">
        <v>95</v>
      </c>
      <c r="C9" s="27" t="s">
        <v>95</v>
      </c>
      <c r="D9" s="27" t="s">
        <v>84</v>
      </c>
      <c r="E9" s="27" t="s">
        <v>211</v>
      </c>
      <c r="F9" s="27" t="s">
        <v>212</v>
      </c>
      <c r="G9" s="27" t="s">
        <v>213</v>
      </c>
      <c r="H9" s="27" t="s">
        <v>187</v>
      </c>
      <c r="I9" s="27" t="s">
        <v>214</v>
      </c>
      <c r="J9" s="26">
        <v>3000.0</v>
      </c>
    </row>
    <row r="10">
      <c r="A10" s="25" t="s">
        <v>215</v>
      </c>
      <c r="B10" s="25" t="s">
        <v>96</v>
      </c>
      <c r="C10" s="25" t="s">
        <v>97</v>
      </c>
      <c r="D10" s="25" t="s">
        <v>84</v>
      </c>
      <c r="E10" s="25" t="s">
        <v>216</v>
      </c>
      <c r="F10" s="25" t="s">
        <v>217</v>
      </c>
      <c r="G10" s="25" t="s">
        <v>218</v>
      </c>
      <c r="H10" s="25" t="s">
        <v>187</v>
      </c>
      <c r="I10" s="25" t="s">
        <v>219</v>
      </c>
      <c r="J10" s="24">
        <v>2000.0</v>
      </c>
    </row>
    <row r="11">
      <c r="A11" s="27" t="s">
        <v>220</v>
      </c>
      <c r="B11" s="27" t="s">
        <v>98</v>
      </c>
      <c r="C11" s="27" t="s">
        <v>99</v>
      </c>
      <c r="D11" s="27" t="s">
        <v>94</v>
      </c>
      <c r="E11" s="27" t="s">
        <v>221</v>
      </c>
      <c r="F11" s="27" t="s">
        <v>222</v>
      </c>
      <c r="G11" s="27" t="s">
        <v>223</v>
      </c>
      <c r="H11" s="27" t="s">
        <v>187</v>
      </c>
      <c r="I11" s="27" t="s">
        <v>224</v>
      </c>
      <c r="J11" s="26">
        <v>1500.0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1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99C7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28.0"/>
    <col customWidth="1" min="3" max="3" width="16.0"/>
    <col customWidth="1" min="4" max="4" width="22.0"/>
    <col customWidth="1" min="5" max="5" width="55.0"/>
    <col customWidth="1" min="6" max="26" width="8.71"/>
  </cols>
  <sheetData>
    <row r="1" ht="30.0" customHeight="1">
      <c r="A1" s="23" t="s">
        <v>225</v>
      </c>
      <c r="B1" s="23" t="s">
        <v>226</v>
      </c>
      <c r="C1" s="23" t="s">
        <v>227</v>
      </c>
      <c r="D1" s="23" t="s">
        <v>228</v>
      </c>
      <c r="E1" s="23" t="s">
        <v>106</v>
      </c>
    </row>
    <row r="2">
      <c r="A2" s="25" t="s">
        <v>229</v>
      </c>
      <c r="B2" s="25" t="s">
        <v>230</v>
      </c>
      <c r="C2" s="25" t="s">
        <v>231</v>
      </c>
      <c r="D2" s="25" t="s">
        <v>232</v>
      </c>
      <c r="E2" s="25" t="s">
        <v>233</v>
      </c>
    </row>
    <row r="3">
      <c r="A3" s="27" t="s">
        <v>234</v>
      </c>
      <c r="B3" s="27" t="s">
        <v>235</v>
      </c>
      <c r="C3" s="27" t="s">
        <v>231</v>
      </c>
      <c r="D3" s="27" t="s">
        <v>236</v>
      </c>
      <c r="E3" s="27" t="s">
        <v>237</v>
      </c>
    </row>
    <row r="4">
      <c r="A4" s="25" t="s">
        <v>238</v>
      </c>
      <c r="B4" s="25" t="s">
        <v>239</v>
      </c>
      <c r="C4" s="25" t="s">
        <v>231</v>
      </c>
      <c r="D4" s="25" t="s">
        <v>240</v>
      </c>
      <c r="E4" s="25" t="s">
        <v>241</v>
      </c>
    </row>
    <row r="5">
      <c r="A5" s="27" t="s">
        <v>242</v>
      </c>
      <c r="B5" s="27" t="s">
        <v>243</v>
      </c>
      <c r="C5" s="27" t="s">
        <v>231</v>
      </c>
      <c r="D5" s="27" t="s">
        <v>244</v>
      </c>
      <c r="E5" s="27" t="s">
        <v>245</v>
      </c>
    </row>
    <row r="6">
      <c r="A6" s="25" t="s">
        <v>246</v>
      </c>
      <c r="B6" s="25" t="s">
        <v>247</v>
      </c>
      <c r="C6" s="25" t="s">
        <v>231</v>
      </c>
      <c r="D6" s="25" t="s">
        <v>248</v>
      </c>
      <c r="E6" s="25" t="s">
        <v>249</v>
      </c>
    </row>
    <row r="7">
      <c r="A7" s="27" t="s">
        <v>250</v>
      </c>
      <c r="B7" s="27" t="s">
        <v>251</v>
      </c>
      <c r="C7" s="27" t="s">
        <v>231</v>
      </c>
      <c r="D7" s="27" t="s">
        <v>248</v>
      </c>
      <c r="E7" s="27" t="s">
        <v>252</v>
      </c>
    </row>
    <row r="8">
      <c r="A8" s="25" t="s">
        <v>253</v>
      </c>
      <c r="B8" s="25" t="s">
        <v>254</v>
      </c>
      <c r="C8" s="25" t="s">
        <v>231</v>
      </c>
      <c r="D8" s="25" t="s">
        <v>248</v>
      </c>
      <c r="E8" s="25" t="s">
        <v>255</v>
      </c>
    </row>
    <row r="9">
      <c r="A9" s="27" t="s">
        <v>256</v>
      </c>
      <c r="B9" s="27" t="s">
        <v>257</v>
      </c>
      <c r="C9" s="27" t="s">
        <v>231</v>
      </c>
      <c r="D9" s="27" t="s">
        <v>258</v>
      </c>
      <c r="E9" s="27" t="s">
        <v>259</v>
      </c>
    </row>
    <row r="10">
      <c r="A10" s="25" t="s">
        <v>260</v>
      </c>
      <c r="B10" s="25" t="s">
        <v>261</v>
      </c>
      <c r="C10" s="25" t="s">
        <v>231</v>
      </c>
      <c r="D10" s="25" t="s">
        <v>258</v>
      </c>
      <c r="E10" s="25" t="s">
        <v>262</v>
      </c>
    </row>
    <row r="11">
      <c r="A11" s="27" t="s">
        <v>263</v>
      </c>
      <c r="B11" s="27" t="s">
        <v>264</v>
      </c>
      <c r="C11" s="27" t="s">
        <v>231</v>
      </c>
      <c r="D11" s="27" t="s">
        <v>258</v>
      </c>
      <c r="E11" s="27" t="s">
        <v>265</v>
      </c>
    </row>
    <row r="12">
      <c r="A12" s="25" t="s">
        <v>266</v>
      </c>
      <c r="B12" s="25" t="s">
        <v>267</v>
      </c>
      <c r="C12" s="25" t="s">
        <v>231</v>
      </c>
      <c r="D12" s="25" t="s">
        <v>268</v>
      </c>
      <c r="E12" s="25" t="s">
        <v>269</v>
      </c>
    </row>
    <row r="13">
      <c r="A13" s="27" t="s">
        <v>270</v>
      </c>
      <c r="B13" s="27" t="s">
        <v>271</v>
      </c>
      <c r="C13" s="27" t="s">
        <v>231</v>
      </c>
      <c r="D13" s="27" t="s">
        <v>268</v>
      </c>
      <c r="E13" s="27" t="s">
        <v>272</v>
      </c>
    </row>
    <row r="14">
      <c r="A14" s="25" t="s">
        <v>273</v>
      </c>
      <c r="B14" s="25" t="s">
        <v>274</v>
      </c>
      <c r="C14" s="25" t="s">
        <v>231</v>
      </c>
      <c r="D14" s="25" t="s">
        <v>275</v>
      </c>
      <c r="E14" s="25" t="s">
        <v>276</v>
      </c>
    </row>
    <row r="15">
      <c r="A15" s="27" t="s">
        <v>277</v>
      </c>
      <c r="B15" s="27" t="s">
        <v>278</v>
      </c>
      <c r="C15" s="27" t="s">
        <v>231</v>
      </c>
      <c r="D15" s="27" t="s">
        <v>275</v>
      </c>
      <c r="E15" s="27" t="s">
        <v>279</v>
      </c>
    </row>
    <row r="16">
      <c r="A16" s="25" t="s">
        <v>280</v>
      </c>
      <c r="B16" s="25" t="s">
        <v>281</v>
      </c>
      <c r="C16" s="25" t="s">
        <v>231</v>
      </c>
      <c r="D16" s="25" t="s">
        <v>282</v>
      </c>
      <c r="E16" s="25" t="s">
        <v>283</v>
      </c>
    </row>
    <row r="17">
      <c r="A17" s="27" t="s">
        <v>284</v>
      </c>
      <c r="B17" s="27" t="s">
        <v>285</v>
      </c>
      <c r="C17" s="27" t="s">
        <v>231</v>
      </c>
      <c r="D17" s="27" t="s">
        <v>286</v>
      </c>
      <c r="E17" s="27" t="s">
        <v>287</v>
      </c>
    </row>
    <row r="18">
      <c r="A18" s="25" t="s">
        <v>288</v>
      </c>
      <c r="B18" s="25" t="s">
        <v>289</v>
      </c>
      <c r="C18" s="25" t="s">
        <v>231</v>
      </c>
      <c r="D18" s="25" t="s">
        <v>286</v>
      </c>
      <c r="E18" s="25" t="s">
        <v>290</v>
      </c>
    </row>
    <row r="19">
      <c r="A19" s="27" t="s">
        <v>291</v>
      </c>
      <c r="B19" s="27" t="s">
        <v>292</v>
      </c>
      <c r="C19" s="27" t="s">
        <v>231</v>
      </c>
      <c r="D19" s="27" t="s">
        <v>293</v>
      </c>
      <c r="E19" s="27" t="s">
        <v>294</v>
      </c>
    </row>
    <row r="20">
      <c r="A20" s="25" t="s">
        <v>295</v>
      </c>
      <c r="B20" s="25" t="s">
        <v>296</v>
      </c>
      <c r="C20" s="25" t="s">
        <v>231</v>
      </c>
      <c r="D20" s="25" t="s">
        <v>232</v>
      </c>
      <c r="E20" s="25" t="s">
        <v>297</v>
      </c>
    </row>
    <row r="21" ht="15.75" customHeight="1">
      <c r="A21" s="27" t="s">
        <v>298</v>
      </c>
      <c r="B21" s="27" t="s">
        <v>299</v>
      </c>
      <c r="C21" s="27" t="s">
        <v>231</v>
      </c>
      <c r="D21" s="27" t="s">
        <v>232</v>
      </c>
      <c r="E21" s="27" t="s">
        <v>300</v>
      </c>
    </row>
    <row r="22" ht="15.75" customHeight="1">
      <c r="A22" s="25" t="s">
        <v>301</v>
      </c>
      <c r="B22" s="25" t="s">
        <v>302</v>
      </c>
      <c r="C22" s="25" t="s">
        <v>231</v>
      </c>
      <c r="D22" s="25" t="s">
        <v>303</v>
      </c>
      <c r="E22" s="25" t="s">
        <v>304</v>
      </c>
    </row>
    <row r="23" ht="15.75" customHeight="1">
      <c r="A23" s="27" t="s">
        <v>305</v>
      </c>
      <c r="B23" s="27" t="s">
        <v>306</v>
      </c>
      <c r="C23" s="27" t="s">
        <v>231</v>
      </c>
      <c r="D23" s="27" t="s">
        <v>307</v>
      </c>
      <c r="E23" s="27" t="s">
        <v>308</v>
      </c>
    </row>
    <row r="24" ht="15.75" customHeight="1">
      <c r="A24" s="25" t="s">
        <v>309</v>
      </c>
      <c r="B24" s="25" t="s">
        <v>310</v>
      </c>
      <c r="C24" s="25" t="s">
        <v>231</v>
      </c>
      <c r="D24" s="25" t="s">
        <v>311</v>
      </c>
      <c r="E24" s="25" t="s">
        <v>312</v>
      </c>
    </row>
    <row r="25" ht="15.75" customHeight="1">
      <c r="A25" s="27" t="s">
        <v>313</v>
      </c>
      <c r="B25" s="27" t="s">
        <v>314</v>
      </c>
      <c r="C25" s="27" t="s">
        <v>231</v>
      </c>
      <c r="D25" s="27" t="s">
        <v>315</v>
      </c>
      <c r="E25" s="27" t="s">
        <v>316</v>
      </c>
    </row>
    <row r="26" ht="15.75" customHeight="1">
      <c r="A26" s="25" t="s">
        <v>317</v>
      </c>
      <c r="B26" s="25" t="s">
        <v>318</v>
      </c>
      <c r="C26" s="25" t="s">
        <v>231</v>
      </c>
      <c r="D26" s="25" t="s">
        <v>319</v>
      </c>
      <c r="E26" s="25" t="s">
        <v>320</v>
      </c>
    </row>
    <row r="27" ht="15.75" customHeight="1">
      <c r="A27" s="27" t="s">
        <v>321</v>
      </c>
      <c r="B27" s="27" t="s">
        <v>322</v>
      </c>
      <c r="C27" s="27" t="s">
        <v>323</v>
      </c>
      <c r="D27" s="27" t="s">
        <v>107</v>
      </c>
      <c r="E27" s="27" t="s">
        <v>324</v>
      </c>
    </row>
    <row r="28" ht="15.75" customHeight="1">
      <c r="A28" s="25" t="s">
        <v>325</v>
      </c>
      <c r="B28" s="25" t="s">
        <v>326</v>
      </c>
      <c r="C28" s="25" t="s">
        <v>323</v>
      </c>
      <c r="D28" s="25" t="s">
        <v>327</v>
      </c>
      <c r="E28" s="25" t="s">
        <v>328</v>
      </c>
    </row>
    <row r="29" ht="15.75" customHeight="1">
      <c r="A29" s="27" t="s">
        <v>329</v>
      </c>
      <c r="B29" s="27" t="s">
        <v>330</v>
      </c>
      <c r="C29" s="27" t="s">
        <v>323</v>
      </c>
      <c r="D29" s="27" t="s">
        <v>331</v>
      </c>
      <c r="E29" s="27" t="s">
        <v>332</v>
      </c>
    </row>
    <row r="30" ht="15.75" customHeight="1">
      <c r="A30" s="25" t="s">
        <v>333</v>
      </c>
      <c r="B30" s="25" t="s">
        <v>334</v>
      </c>
      <c r="C30" s="25" t="s">
        <v>323</v>
      </c>
      <c r="D30" s="25" t="s">
        <v>107</v>
      </c>
      <c r="E30" s="25" t="s">
        <v>335</v>
      </c>
    </row>
    <row r="31" ht="15.75" customHeight="1">
      <c r="A31" s="27" t="s">
        <v>336</v>
      </c>
      <c r="B31" s="27" t="s">
        <v>337</v>
      </c>
      <c r="C31" s="27" t="s">
        <v>323</v>
      </c>
      <c r="D31" s="27" t="s">
        <v>338</v>
      </c>
      <c r="E31" s="27" t="s">
        <v>339</v>
      </c>
    </row>
    <row r="32" ht="15.75" customHeight="1">
      <c r="A32" s="25" t="s">
        <v>340</v>
      </c>
      <c r="B32" s="25" t="s">
        <v>341</v>
      </c>
      <c r="C32" s="25" t="s">
        <v>323</v>
      </c>
      <c r="D32" s="25" t="s">
        <v>342</v>
      </c>
      <c r="E32" s="25" t="s">
        <v>343</v>
      </c>
    </row>
    <row r="33" ht="15.75" customHeight="1">
      <c r="A33" s="27" t="s">
        <v>344</v>
      </c>
      <c r="B33" s="27" t="s">
        <v>345</v>
      </c>
      <c r="C33" s="27" t="s">
        <v>323</v>
      </c>
      <c r="D33" s="27" t="s">
        <v>346</v>
      </c>
      <c r="E33" s="27" t="s">
        <v>347</v>
      </c>
    </row>
    <row r="34" ht="15.75" customHeight="1">
      <c r="A34" s="25" t="s">
        <v>348</v>
      </c>
      <c r="B34" s="25" t="s">
        <v>349</v>
      </c>
      <c r="C34" s="25" t="s">
        <v>350</v>
      </c>
      <c r="D34" s="25" t="s">
        <v>351</v>
      </c>
      <c r="E34" s="25" t="s">
        <v>352</v>
      </c>
    </row>
    <row r="35" ht="15.75" customHeight="1">
      <c r="A35" s="27" t="s">
        <v>353</v>
      </c>
      <c r="B35" s="27" t="s">
        <v>354</v>
      </c>
      <c r="C35" s="27" t="s">
        <v>350</v>
      </c>
      <c r="D35" s="27" t="s">
        <v>351</v>
      </c>
      <c r="E35" s="27" t="s">
        <v>355</v>
      </c>
    </row>
    <row r="36" ht="15.75" customHeight="1">
      <c r="A36" s="25" t="s">
        <v>356</v>
      </c>
      <c r="B36" s="25" t="s">
        <v>357</v>
      </c>
      <c r="C36" s="25" t="s">
        <v>350</v>
      </c>
      <c r="D36" s="25" t="s">
        <v>351</v>
      </c>
      <c r="E36" s="25" t="s">
        <v>358</v>
      </c>
    </row>
    <row r="37" ht="15.75" customHeight="1">
      <c r="A37" s="27" t="s">
        <v>359</v>
      </c>
      <c r="B37" s="27" t="s">
        <v>360</v>
      </c>
      <c r="C37" s="27" t="s">
        <v>350</v>
      </c>
      <c r="D37" s="27" t="s">
        <v>351</v>
      </c>
      <c r="E37" s="27" t="s">
        <v>361</v>
      </c>
    </row>
    <row r="38" ht="15.75" customHeight="1">
      <c r="A38" s="25" t="s">
        <v>362</v>
      </c>
      <c r="B38" s="25" t="s">
        <v>363</v>
      </c>
      <c r="C38" s="25" t="s">
        <v>350</v>
      </c>
      <c r="D38" s="25" t="s">
        <v>351</v>
      </c>
      <c r="E38" s="25" t="s">
        <v>364</v>
      </c>
    </row>
    <row r="39" ht="15.75" customHeight="1">
      <c r="A39" s="27" t="s">
        <v>365</v>
      </c>
      <c r="B39" s="27" t="s">
        <v>366</v>
      </c>
      <c r="C39" s="27" t="s">
        <v>367</v>
      </c>
      <c r="D39" s="27" t="s">
        <v>368</v>
      </c>
      <c r="E39" s="27" t="s">
        <v>369</v>
      </c>
    </row>
    <row r="40" ht="15.75" customHeight="1">
      <c r="A40" s="25" t="s">
        <v>370</v>
      </c>
      <c r="B40" s="25" t="s">
        <v>371</v>
      </c>
      <c r="C40" s="25" t="s">
        <v>367</v>
      </c>
      <c r="D40" s="25" t="s">
        <v>372</v>
      </c>
      <c r="E40" s="25" t="s">
        <v>373</v>
      </c>
    </row>
    <row r="41" ht="15.75" customHeight="1">
      <c r="A41" s="27" t="s">
        <v>374</v>
      </c>
      <c r="B41" s="27" t="s">
        <v>375</v>
      </c>
      <c r="C41" s="27" t="s">
        <v>367</v>
      </c>
      <c r="D41" s="27" t="s">
        <v>376</v>
      </c>
      <c r="E41" s="27" t="s">
        <v>377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875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4.0"/>
    <col customWidth="1" min="4" max="4" width="22.0"/>
    <col customWidth="1" min="5" max="5" width="8.0"/>
    <col customWidth="1" min="6" max="6" width="14.0"/>
    <col customWidth="1" min="7" max="7" width="13.0"/>
    <col customWidth="1" min="8" max="8" width="12.0"/>
    <col customWidth="1" min="9" max="9" width="22.0"/>
    <col customWidth="1" min="10" max="10" width="28.0"/>
    <col customWidth="1" min="11" max="11" width="12.0"/>
    <col customWidth="1" min="12" max="12" width="14.0"/>
    <col customWidth="1" min="13" max="13" width="10.0"/>
    <col customWidth="1" min="14" max="14" width="12.0"/>
    <col customWidth="1" min="15" max="15" width="34.0"/>
    <col customWidth="1" min="16" max="16" width="30.0"/>
    <col customWidth="1" min="17" max="18" width="18.0"/>
    <col customWidth="1" min="19" max="19" width="15.0"/>
    <col customWidth="1" min="20" max="20" width="16.0"/>
    <col customWidth="1" min="21" max="21" width="18.0"/>
    <col customWidth="1" min="22" max="22" width="14.0"/>
    <col customWidth="1" min="23" max="24" width="22.0"/>
    <col customWidth="1" min="25" max="25" width="14.0"/>
    <col customWidth="1" min="26" max="26" width="9.0"/>
    <col customWidth="1" min="27" max="27" width="13.0"/>
    <col customWidth="1" min="28" max="28" width="10.0"/>
    <col customWidth="1" min="29" max="29" width="14.0"/>
    <col customWidth="1" min="30" max="30" width="16.0"/>
    <col customWidth="1" min="31" max="31" width="14.0"/>
  </cols>
  <sheetData>
    <row r="1" ht="30.0" customHeight="1">
      <c r="A1" s="23" t="s">
        <v>378</v>
      </c>
      <c r="B1" s="23" t="s">
        <v>379</v>
      </c>
      <c r="C1" s="23" t="s">
        <v>380</v>
      </c>
      <c r="D1" s="23" t="s">
        <v>381</v>
      </c>
      <c r="E1" s="23" t="s">
        <v>382</v>
      </c>
      <c r="F1" s="23" t="s">
        <v>383</v>
      </c>
      <c r="G1" s="23" t="s">
        <v>384</v>
      </c>
      <c r="H1" s="23" t="s">
        <v>385</v>
      </c>
      <c r="I1" s="23" t="s">
        <v>386</v>
      </c>
      <c r="J1" s="23" t="s">
        <v>11</v>
      </c>
      <c r="K1" s="23" t="s">
        <v>387</v>
      </c>
      <c r="L1" s="23" t="s">
        <v>140</v>
      </c>
      <c r="M1" s="23" t="s">
        <v>170</v>
      </c>
      <c r="N1" s="23" t="s">
        <v>388</v>
      </c>
      <c r="O1" s="23" t="s">
        <v>389</v>
      </c>
      <c r="P1" s="23" t="s">
        <v>390</v>
      </c>
      <c r="Q1" s="23" t="s">
        <v>391</v>
      </c>
      <c r="R1" s="23" t="s">
        <v>392</v>
      </c>
      <c r="S1" s="23" t="s">
        <v>393</v>
      </c>
      <c r="T1" s="23" t="s">
        <v>394</v>
      </c>
      <c r="U1" s="23" t="s">
        <v>395</v>
      </c>
      <c r="V1" s="23" t="s">
        <v>396</v>
      </c>
      <c r="W1" s="23" t="s">
        <v>397</v>
      </c>
      <c r="X1" s="23" t="s">
        <v>398</v>
      </c>
      <c r="Y1" s="23" t="s">
        <v>399</v>
      </c>
      <c r="Z1" s="23" t="s">
        <v>400</v>
      </c>
      <c r="AA1" s="23" t="s">
        <v>401</v>
      </c>
      <c r="AB1" s="23" t="s">
        <v>402</v>
      </c>
      <c r="AC1" s="23" t="s">
        <v>144</v>
      </c>
      <c r="AD1" s="29" t="s">
        <v>403</v>
      </c>
      <c r="AE1" s="23" t="s">
        <v>404</v>
      </c>
    </row>
    <row r="2">
      <c r="A2" s="25" t="s">
        <v>150</v>
      </c>
      <c r="B2" s="25" t="s">
        <v>405</v>
      </c>
      <c r="C2" s="25" t="s">
        <v>406</v>
      </c>
      <c r="D2" s="25" t="s">
        <v>407</v>
      </c>
      <c r="E2" s="25" t="s">
        <v>408</v>
      </c>
      <c r="F2" s="30">
        <v>25476.0</v>
      </c>
      <c r="G2" s="25" t="s">
        <v>409</v>
      </c>
      <c r="H2" s="31">
        <v>1.0</v>
      </c>
      <c r="I2" s="25" t="s">
        <v>107</v>
      </c>
      <c r="J2" s="25" t="s">
        <v>17</v>
      </c>
      <c r="K2" s="25" t="s">
        <v>410</v>
      </c>
      <c r="L2" s="25" t="s">
        <v>39</v>
      </c>
      <c r="M2" s="25" t="s">
        <v>196</v>
      </c>
      <c r="N2" s="25"/>
      <c r="O2" s="28" t="s">
        <v>411</v>
      </c>
      <c r="P2" s="25" t="s">
        <v>412</v>
      </c>
      <c r="Q2" s="25" t="s">
        <v>413</v>
      </c>
      <c r="R2" s="25" t="s">
        <v>414</v>
      </c>
      <c r="S2" s="30">
        <v>43973.0</v>
      </c>
      <c r="T2" s="25" t="s">
        <v>415</v>
      </c>
      <c r="U2" s="25" t="s">
        <v>65</v>
      </c>
      <c r="V2" s="25" t="s">
        <v>416</v>
      </c>
      <c r="W2" s="25" t="s">
        <v>417</v>
      </c>
      <c r="X2" s="25" t="s">
        <v>418</v>
      </c>
      <c r="Y2" s="32">
        <v>487.46</v>
      </c>
      <c r="Z2" s="25" t="s">
        <v>419</v>
      </c>
      <c r="AA2" s="25" t="s">
        <v>420</v>
      </c>
      <c r="AB2" s="25" t="s">
        <v>72</v>
      </c>
      <c r="AC2" s="25" t="s">
        <v>163</v>
      </c>
      <c r="AD2" s="24">
        <v>5.0</v>
      </c>
      <c r="AE2" s="24">
        <v>28.0</v>
      </c>
    </row>
    <row r="3">
      <c r="A3" s="27" t="s">
        <v>152</v>
      </c>
      <c r="B3" s="27" t="s">
        <v>421</v>
      </c>
      <c r="C3" s="27" t="s">
        <v>422</v>
      </c>
      <c r="D3" s="27" t="s">
        <v>423</v>
      </c>
      <c r="E3" s="27" t="s">
        <v>424</v>
      </c>
      <c r="F3" s="33">
        <v>28428.0</v>
      </c>
      <c r="G3" s="27" t="s">
        <v>409</v>
      </c>
      <c r="H3" s="34">
        <v>2.0</v>
      </c>
      <c r="I3" s="27" t="s">
        <v>107</v>
      </c>
      <c r="J3" s="27" t="s">
        <v>21</v>
      </c>
      <c r="K3" s="27" t="s">
        <v>425</v>
      </c>
      <c r="L3" s="27" t="s">
        <v>19</v>
      </c>
      <c r="M3" s="27" t="s">
        <v>183</v>
      </c>
      <c r="N3" s="27" t="s">
        <v>150</v>
      </c>
      <c r="O3" s="35" t="s">
        <v>426</v>
      </c>
      <c r="P3" s="27" t="s">
        <v>427</v>
      </c>
      <c r="Q3" s="27" t="s">
        <v>428</v>
      </c>
      <c r="R3" s="27" t="s">
        <v>429</v>
      </c>
      <c r="S3" s="33">
        <v>43084.0</v>
      </c>
      <c r="T3" s="27" t="s">
        <v>415</v>
      </c>
      <c r="U3" s="27" t="s">
        <v>65</v>
      </c>
      <c r="V3" s="27" t="s">
        <v>430</v>
      </c>
      <c r="W3" s="27" t="s">
        <v>431</v>
      </c>
      <c r="X3" s="27" t="s">
        <v>432</v>
      </c>
      <c r="Y3" s="36">
        <v>368.79</v>
      </c>
      <c r="Z3" s="27" t="s">
        <v>419</v>
      </c>
      <c r="AA3" s="27" t="s">
        <v>420</v>
      </c>
      <c r="AB3" s="27" t="s">
        <v>72</v>
      </c>
      <c r="AC3" s="27" t="s">
        <v>149</v>
      </c>
      <c r="AD3" s="26">
        <v>8.0</v>
      </c>
      <c r="AE3" s="26">
        <v>24.0</v>
      </c>
    </row>
    <row r="4">
      <c r="A4" s="25" t="s">
        <v>154</v>
      </c>
      <c r="B4" s="25" t="s">
        <v>433</v>
      </c>
      <c r="C4" s="25" t="s">
        <v>434</v>
      </c>
      <c r="D4" s="25" t="s">
        <v>435</v>
      </c>
      <c r="E4" s="25" t="s">
        <v>424</v>
      </c>
      <c r="F4" s="30">
        <v>29184.0</v>
      </c>
      <c r="G4" s="25" t="s">
        <v>409</v>
      </c>
      <c r="H4" s="31">
        <v>3.0</v>
      </c>
      <c r="I4" s="25" t="s">
        <v>107</v>
      </c>
      <c r="J4" s="25" t="s">
        <v>25</v>
      </c>
      <c r="K4" s="25" t="s">
        <v>436</v>
      </c>
      <c r="L4" s="25" t="s">
        <v>35</v>
      </c>
      <c r="M4" s="25" t="s">
        <v>200</v>
      </c>
      <c r="N4" s="25" t="s">
        <v>152</v>
      </c>
      <c r="O4" s="28" t="s">
        <v>437</v>
      </c>
      <c r="P4" s="25" t="s">
        <v>438</v>
      </c>
      <c r="Q4" s="25" t="s">
        <v>439</v>
      </c>
      <c r="R4" s="25" t="s">
        <v>440</v>
      </c>
      <c r="S4" s="30">
        <v>44608.0</v>
      </c>
      <c r="T4" s="25" t="s">
        <v>415</v>
      </c>
      <c r="U4" s="25" t="s">
        <v>65</v>
      </c>
      <c r="V4" s="25" t="s">
        <v>441</v>
      </c>
      <c r="W4" s="25" t="s">
        <v>442</v>
      </c>
      <c r="X4" s="25" t="s">
        <v>432</v>
      </c>
      <c r="Y4" s="32">
        <v>268.01</v>
      </c>
      <c r="Z4" s="25" t="s">
        <v>419</v>
      </c>
      <c r="AA4" s="25" t="s">
        <v>420</v>
      </c>
      <c r="AB4" s="25" t="s">
        <v>76</v>
      </c>
      <c r="AC4" s="25" t="s">
        <v>160</v>
      </c>
      <c r="AD4" s="24">
        <v>3.0</v>
      </c>
      <c r="AE4" s="24">
        <v>21.0</v>
      </c>
    </row>
    <row r="5">
      <c r="A5" s="27" t="s">
        <v>443</v>
      </c>
      <c r="B5" s="27" t="s">
        <v>444</v>
      </c>
      <c r="C5" s="27" t="s">
        <v>445</v>
      </c>
      <c r="D5" s="27" t="s">
        <v>446</v>
      </c>
      <c r="E5" s="27" t="s">
        <v>408</v>
      </c>
      <c r="F5" s="33">
        <v>28949.0</v>
      </c>
      <c r="G5" s="27" t="s">
        <v>409</v>
      </c>
      <c r="H5" s="34">
        <v>4.0</v>
      </c>
      <c r="I5" s="27" t="s">
        <v>29</v>
      </c>
      <c r="J5" s="27" t="s">
        <v>29</v>
      </c>
      <c r="K5" s="27" t="s">
        <v>447</v>
      </c>
      <c r="L5" s="27" t="s">
        <v>39</v>
      </c>
      <c r="M5" s="27" t="s">
        <v>183</v>
      </c>
      <c r="N5" s="27" t="s">
        <v>154</v>
      </c>
      <c r="O5" s="35" t="s">
        <v>448</v>
      </c>
      <c r="P5" s="27" t="s">
        <v>449</v>
      </c>
      <c r="Q5" s="27" t="s">
        <v>450</v>
      </c>
      <c r="R5" s="27" t="s">
        <v>451</v>
      </c>
      <c r="S5" s="33">
        <v>44121.0</v>
      </c>
      <c r="T5" s="27" t="s">
        <v>415</v>
      </c>
      <c r="U5" s="27" t="s">
        <v>65</v>
      </c>
      <c r="V5" s="27" t="s">
        <v>430</v>
      </c>
      <c r="W5" s="27" t="s">
        <v>452</v>
      </c>
      <c r="X5" s="27" t="s">
        <v>418</v>
      </c>
      <c r="Y5" s="36">
        <v>122.57</v>
      </c>
      <c r="Z5" s="27" t="s">
        <v>419</v>
      </c>
      <c r="AA5" s="27" t="s">
        <v>420</v>
      </c>
      <c r="AB5" s="27" t="s">
        <v>72</v>
      </c>
      <c r="AC5" s="27" t="s">
        <v>163</v>
      </c>
      <c r="AD5" s="26">
        <v>6.0</v>
      </c>
      <c r="AE5" s="26">
        <v>20.0</v>
      </c>
    </row>
    <row r="6">
      <c r="A6" s="25" t="s">
        <v>453</v>
      </c>
      <c r="B6" s="25" t="s">
        <v>454</v>
      </c>
      <c r="C6" s="25" t="s">
        <v>455</v>
      </c>
      <c r="D6" s="25" t="s">
        <v>456</v>
      </c>
      <c r="E6" s="25" t="s">
        <v>424</v>
      </c>
      <c r="F6" s="30">
        <v>28479.0</v>
      </c>
      <c r="G6" s="25" t="s">
        <v>409</v>
      </c>
      <c r="H6" s="31">
        <v>4.0</v>
      </c>
      <c r="I6" s="25" t="s">
        <v>29</v>
      </c>
      <c r="J6" s="25" t="s">
        <v>29</v>
      </c>
      <c r="K6" s="25" t="s">
        <v>447</v>
      </c>
      <c r="L6" s="25" t="s">
        <v>43</v>
      </c>
      <c r="M6" s="25" t="s">
        <v>192</v>
      </c>
      <c r="N6" s="25" t="s">
        <v>154</v>
      </c>
      <c r="O6" s="28" t="s">
        <v>457</v>
      </c>
      <c r="P6" s="25" t="s">
        <v>458</v>
      </c>
      <c r="Q6" s="25" t="s">
        <v>459</v>
      </c>
      <c r="R6" s="25" t="s">
        <v>460</v>
      </c>
      <c r="S6" s="30">
        <v>44449.0</v>
      </c>
      <c r="T6" s="25" t="s">
        <v>415</v>
      </c>
      <c r="U6" s="25" t="s">
        <v>65</v>
      </c>
      <c r="V6" s="25" t="s">
        <v>461</v>
      </c>
      <c r="W6" s="25" t="s">
        <v>462</v>
      </c>
      <c r="X6" s="25" t="s">
        <v>463</v>
      </c>
      <c r="Y6" s="32">
        <v>137.55</v>
      </c>
      <c r="Z6" s="25" t="s">
        <v>419</v>
      </c>
      <c r="AA6" s="25" t="s">
        <v>420</v>
      </c>
      <c r="AB6" s="25" t="s">
        <v>76</v>
      </c>
      <c r="AC6" s="25" t="s">
        <v>164</v>
      </c>
      <c r="AD6" s="24">
        <v>4.0</v>
      </c>
      <c r="AE6" s="24">
        <v>20.0</v>
      </c>
    </row>
    <row r="7">
      <c r="A7" s="27" t="s">
        <v>464</v>
      </c>
      <c r="B7" s="27" t="s">
        <v>465</v>
      </c>
      <c r="C7" s="27" t="s">
        <v>466</v>
      </c>
      <c r="D7" s="27" t="s">
        <v>467</v>
      </c>
      <c r="E7" s="27" t="s">
        <v>408</v>
      </c>
      <c r="F7" s="33">
        <v>29835.0</v>
      </c>
      <c r="G7" s="27" t="s">
        <v>468</v>
      </c>
      <c r="H7" s="34">
        <v>4.0</v>
      </c>
      <c r="I7" s="27" t="s">
        <v>29</v>
      </c>
      <c r="J7" s="27" t="s">
        <v>29</v>
      </c>
      <c r="K7" s="27" t="s">
        <v>447</v>
      </c>
      <c r="L7" s="27" t="s">
        <v>19</v>
      </c>
      <c r="M7" s="27" t="s">
        <v>192</v>
      </c>
      <c r="N7" s="27" t="s">
        <v>154</v>
      </c>
      <c r="O7" s="35" t="s">
        <v>469</v>
      </c>
      <c r="P7" s="27" t="s">
        <v>470</v>
      </c>
      <c r="Q7" s="27" t="s">
        <v>471</v>
      </c>
      <c r="R7" s="27" t="s">
        <v>472</v>
      </c>
      <c r="S7" s="33">
        <v>42911.0</v>
      </c>
      <c r="T7" s="27" t="s">
        <v>415</v>
      </c>
      <c r="U7" s="27" t="s">
        <v>65</v>
      </c>
      <c r="V7" s="27" t="s">
        <v>441</v>
      </c>
      <c r="W7" s="27" t="s">
        <v>473</v>
      </c>
      <c r="X7" s="27" t="s">
        <v>474</v>
      </c>
      <c r="Y7" s="36">
        <v>180.07</v>
      </c>
      <c r="Z7" s="27" t="s">
        <v>419</v>
      </c>
      <c r="AA7" s="27" t="s">
        <v>420</v>
      </c>
      <c r="AB7" s="27" t="s">
        <v>74</v>
      </c>
      <c r="AC7" s="27" t="s">
        <v>149</v>
      </c>
      <c r="AD7" s="26">
        <v>9.0</v>
      </c>
      <c r="AE7" s="26">
        <v>19.0</v>
      </c>
    </row>
    <row r="8">
      <c r="A8" s="25" t="s">
        <v>475</v>
      </c>
      <c r="B8" s="25" t="s">
        <v>476</v>
      </c>
      <c r="C8" s="25" t="s">
        <v>477</v>
      </c>
      <c r="D8" s="25" t="s">
        <v>478</v>
      </c>
      <c r="E8" s="25" t="s">
        <v>408</v>
      </c>
      <c r="F8" s="30">
        <v>32056.0</v>
      </c>
      <c r="G8" s="25" t="s">
        <v>409</v>
      </c>
      <c r="H8" s="31">
        <v>5.0</v>
      </c>
      <c r="I8" s="25" t="s">
        <v>33</v>
      </c>
      <c r="J8" s="25" t="s">
        <v>33</v>
      </c>
      <c r="K8" s="25" t="s">
        <v>479</v>
      </c>
      <c r="L8" s="25" t="s">
        <v>51</v>
      </c>
      <c r="M8" s="25" t="s">
        <v>188</v>
      </c>
      <c r="N8" s="25" t="s">
        <v>443</v>
      </c>
      <c r="O8" s="28" t="s">
        <v>480</v>
      </c>
      <c r="P8" s="25" t="s">
        <v>481</v>
      </c>
      <c r="Q8" s="25" t="s">
        <v>482</v>
      </c>
      <c r="R8" s="25" t="s">
        <v>483</v>
      </c>
      <c r="S8" s="30">
        <v>41580.0</v>
      </c>
      <c r="T8" s="25" t="s">
        <v>415</v>
      </c>
      <c r="U8" s="25" t="s">
        <v>65</v>
      </c>
      <c r="V8" s="25" t="s">
        <v>484</v>
      </c>
      <c r="W8" s="25" t="s">
        <v>485</v>
      </c>
      <c r="X8" s="25" t="s">
        <v>486</v>
      </c>
      <c r="Y8" s="32">
        <v>118.93</v>
      </c>
      <c r="Z8" s="25" t="s">
        <v>419</v>
      </c>
      <c r="AA8" s="25" t="s">
        <v>420</v>
      </c>
      <c r="AB8" s="25" t="s">
        <v>72</v>
      </c>
      <c r="AC8" s="25" t="s">
        <v>168</v>
      </c>
      <c r="AD8" s="24">
        <v>12.0</v>
      </c>
      <c r="AE8" s="24">
        <v>16.0</v>
      </c>
    </row>
    <row r="9">
      <c r="A9" s="27" t="s">
        <v>487</v>
      </c>
      <c r="B9" s="27" t="s">
        <v>488</v>
      </c>
      <c r="C9" s="27" t="s">
        <v>489</v>
      </c>
      <c r="D9" s="27" t="s">
        <v>490</v>
      </c>
      <c r="E9" s="27" t="s">
        <v>408</v>
      </c>
      <c r="F9" s="33">
        <v>32087.0</v>
      </c>
      <c r="G9" s="27" t="s">
        <v>409</v>
      </c>
      <c r="H9" s="34">
        <v>5.0</v>
      </c>
      <c r="I9" s="27" t="s">
        <v>33</v>
      </c>
      <c r="J9" s="27" t="s">
        <v>33</v>
      </c>
      <c r="K9" s="27" t="s">
        <v>479</v>
      </c>
      <c r="L9" s="27" t="s">
        <v>19</v>
      </c>
      <c r="M9" s="27" t="s">
        <v>188</v>
      </c>
      <c r="N9" s="27" t="s">
        <v>443</v>
      </c>
      <c r="O9" s="35" t="s">
        <v>491</v>
      </c>
      <c r="P9" s="27" t="s">
        <v>492</v>
      </c>
      <c r="Q9" s="27" t="s">
        <v>493</v>
      </c>
      <c r="R9" s="27" t="s">
        <v>494</v>
      </c>
      <c r="S9" s="33">
        <v>41720.0</v>
      </c>
      <c r="T9" s="27" t="s">
        <v>495</v>
      </c>
      <c r="U9" s="27" t="s">
        <v>65</v>
      </c>
      <c r="V9" s="27" t="s">
        <v>441</v>
      </c>
      <c r="W9" s="27" t="s">
        <v>496</v>
      </c>
      <c r="X9" s="27" t="s">
        <v>418</v>
      </c>
      <c r="Y9" s="36">
        <v>112.99</v>
      </c>
      <c r="Z9" s="27" t="s">
        <v>419</v>
      </c>
      <c r="AA9" s="27" t="s">
        <v>420</v>
      </c>
      <c r="AB9" s="27" t="s">
        <v>76</v>
      </c>
      <c r="AC9" s="27" t="s">
        <v>149</v>
      </c>
      <c r="AD9" s="26">
        <v>11.0</v>
      </c>
      <c r="AE9" s="26">
        <v>16.0</v>
      </c>
    </row>
    <row r="10">
      <c r="A10" s="25" t="s">
        <v>497</v>
      </c>
      <c r="B10" s="25" t="s">
        <v>498</v>
      </c>
      <c r="C10" s="25" t="s">
        <v>499</v>
      </c>
      <c r="D10" s="25" t="s">
        <v>500</v>
      </c>
      <c r="E10" s="25" t="s">
        <v>424</v>
      </c>
      <c r="F10" s="30">
        <v>32175.0</v>
      </c>
      <c r="G10" s="25" t="s">
        <v>409</v>
      </c>
      <c r="H10" s="31">
        <v>5.0</v>
      </c>
      <c r="I10" s="25" t="s">
        <v>33</v>
      </c>
      <c r="J10" s="25" t="s">
        <v>33</v>
      </c>
      <c r="K10" s="25" t="s">
        <v>479</v>
      </c>
      <c r="L10" s="25" t="s">
        <v>19</v>
      </c>
      <c r="M10" s="25" t="s">
        <v>183</v>
      </c>
      <c r="N10" s="25" t="s">
        <v>464</v>
      </c>
      <c r="O10" s="28" t="s">
        <v>501</v>
      </c>
      <c r="P10" s="25" t="s">
        <v>502</v>
      </c>
      <c r="Q10" s="25" t="s">
        <v>503</v>
      </c>
      <c r="R10" s="25" t="s">
        <v>504</v>
      </c>
      <c r="S10" s="30">
        <v>42467.0</v>
      </c>
      <c r="T10" s="25" t="s">
        <v>415</v>
      </c>
      <c r="U10" s="25" t="s">
        <v>65</v>
      </c>
      <c r="V10" s="25" t="s">
        <v>430</v>
      </c>
      <c r="W10" s="25" t="s">
        <v>505</v>
      </c>
      <c r="X10" s="25" t="s">
        <v>418</v>
      </c>
      <c r="Y10" s="32">
        <v>80.36</v>
      </c>
      <c r="Z10" s="25" t="s">
        <v>419</v>
      </c>
      <c r="AA10" s="25" t="s">
        <v>420</v>
      </c>
      <c r="AB10" s="25" t="s">
        <v>74</v>
      </c>
      <c r="AC10" s="25" t="s">
        <v>149</v>
      </c>
      <c r="AD10" s="24">
        <v>10.0</v>
      </c>
      <c r="AE10" s="24">
        <v>16.0</v>
      </c>
    </row>
    <row r="11">
      <c r="A11" s="27" t="s">
        <v>506</v>
      </c>
      <c r="B11" s="27" t="s">
        <v>507</v>
      </c>
      <c r="C11" s="27" t="s">
        <v>508</v>
      </c>
      <c r="D11" s="27" t="s">
        <v>509</v>
      </c>
      <c r="E11" s="27" t="s">
        <v>424</v>
      </c>
      <c r="F11" s="33">
        <v>29032.0</v>
      </c>
      <c r="G11" s="27" t="s">
        <v>409</v>
      </c>
      <c r="H11" s="34">
        <v>5.0</v>
      </c>
      <c r="I11" s="27" t="s">
        <v>33</v>
      </c>
      <c r="J11" s="27" t="s">
        <v>33</v>
      </c>
      <c r="K11" s="27" t="s">
        <v>479</v>
      </c>
      <c r="L11" s="27" t="s">
        <v>31</v>
      </c>
      <c r="M11" s="27" t="s">
        <v>183</v>
      </c>
      <c r="N11" s="27" t="s">
        <v>443</v>
      </c>
      <c r="O11" s="35" t="s">
        <v>510</v>
      </c>
      <c r="P11" s="27" t="s">
        <v>511</v>
      </c>
      <c r="Q11" s="27" t="s">
        <v>512</v>
      </c>
      <c r="R11" s="27" t="s">
        <v>513</v>
      </c>
      <c r="S11" s="33">
        <v>41493.0</v>
      </c>
      <c r="T11" s="27" t="s">
        <v>415</v>
      </c>
      <c r="U11" s="27" t="s">
        <v>65</v>
      </c>
      <c r="V11" s="27" t="s">
        <v>514</v>
      </c>
      <c r="W11" s="27" t="s">
        <v>485</v>
      </c>
      <c r="X11" s="27" t="s">
        <v>474</v>
      </c>
      <c r="Y11" s="36">
        <v>101.55</v>
      </c>
      <c r="Z11" s="27" t="s">
        <v>419</v>
      </c>
      <c r="AA11" s="27" t="s">
        <v>420</v>
      </c>
      <c r="AB11" s="27" t="s">
        <v>72</v>
      </c>
      <c r="AC11" s="27" t="s">
        <v>157</v>
      </c>
      <c r="AD11" s="26">
        <v>13.0</v>
      </c>
      <c r="AE11" s="26">
        <v>17.0</v>
      </c>
    </row>
    <row r="12">
      <c r="A12" s="25" t="s">
        <v>515</v>
      </c>
      <c r="B12" s="25" t="s">
        <v>516</v>
      </c>
      <c r="C12" s="25" t="s">
        <v>489</v>
      </c>
      <c r="D12" s="25" t="s">
        <v>517</v>
      </c>
      <c r="E12" s="25" t="s">
        <v>424</v>
      </c>
      <c r="F12" s="30">
        <v>29275.0</v>
      </c>
      <c r="G12" s="25" t="s">
        <v>409</v>
      </c>
      <c r="H12" s="31">
        <v>5.0</v>
      </c>
      <c r="I12" s="25" t="s">
        <v>33</v>
      </c>
      <c r="J12" s="25" t="s">
        <v>33</v>
      </c>
      <c r="K12" s="25" t="s">
        <v>479</v>
      </c>
      <c r="L12" s="25" t="s">
        <v>27</v>
      </c>
      <c r="M12" s="25" t="s">
        <v>188</v>
      </c>
      <c r="N12" s="25" t="s">
        <v>443</v>
      </c>
      <c r="O12" s="28" t="s">
        <v>518</v>
      </c>
      <c r="P12" s="25" t="s">
        <v>519</v>
      </c>
      <c r="Q12" s="25" t="s">
        <v>520</v>
      </c>
      <c r="R12" s="25" t="s">
        <v>521</v>
      </c>
      <c r="S12" s="30">
        <v>44380.0</v>
      </c>
      <c r="T12" s="25" t="s">
        <v>415</v>
      </c>
      <c r="U12" s="25" t="s">
        <v>65</v>
      </c>
      <c r="V12" s="25" t="s">
        <v>430</v>
      </c>
      <c r="W12" s="25" t="s">
        <v>522</v>
      </c>
      <c r="X12" s="25" t="s">
        <v>432</v>
      </c>
      <c r="Y12" s="32">
        <v>120.4</v>
      </c>
      <c r="Z12" s="25" t="s">
        <v>419</v>
      </c>
      <c r="AA12" s="25" t="s">
        <v>420</v>
      </c>
      <c r="AB12" s="25" t="s">
        <v>76</v>
      </c>
      <c r="AC12" s="25" t="s">
        <v>153</v>
      </c>
      <c r="AD12" s="24">
        <v>5.0</v>
      </c>
      <c r="AE12" s="24">
        <v>15.0</v>
      </c>
    </row>
    <row r="13">
      <c r="A13" s="27" t="s">
        <v>523</v>
      </c>
      <c r="B13" s="27" t="s">
        <v>524</v>
      </c>
      <c r="C13" s="27" t="s">
        <v>525</v>
      </c>
      <c r="D13" s="27" t="s">
        <v>526</v>
      </c>
      <c r="E13" s="27" t="s">
        <v>408</v>
      </c>
      <c r="F13" s="33">
        <v>31558.0</v>
      </c>
      <c r="G13" s="27" t="s">
        <v>527</v>
      </c>
      <c r="H13" s="34">
        <v>6.0</v>
      </c>
      <c r="I13" s="27" t="s">
        <v>37</v>
      </c>
      <c r="J13" s="27" t="s">
        <v>37</v>
      </c>
      <c r="K13" s="27" t="s">
        <v>528</v>
      </c>
      <c r="L13" s="27" t="s">
        <v>51</v>
      </c>
      <c r="M13" s="27" t="s">
        <v>183</v>
      </c>
      <c r="N13" s="27" t="s">
        <v>475</v>
      </c>
      <c r="O13" s="35" t="s">
        <v>529</v>
      </c>
      <c r="P13" s="27" t="s">
        <v>530</v>
      </c>
      <c r="Q13" s="27" t="s">
        <v>531</v>
      </c>
      <c r="R13" s="27" t="s">
        <v>532</v>
      </c>
      <c r="S13" s="33">
        <v>44241.0</v>
      </c>
      <c r="T13" s="27" t="s">
        <v>495</v>
      </c>
      <c r="U13" s="27" t="s">
        <v>65</v>
      </c>
      <c r="V13" s="27" t="s">
        <v>533</v>
      </c>
      <c r="W13" s="27" t="s">
        <v>462</v>
      </c>
      <c r="X13" s="27" t="s">
        <v>418</v>
      </c>
      <c r="Y13" s="36">
        <v>70.93</v>
      </c>
      <c r="Z13" s="27" t="s">
        <v>419</v>
      </c>
      <c r="AA13" s="27" t="s">
        <v>534</v>
      </c>
      <c r="AB13" s="27" t="s">
        <v>72</v>
      </c>
      <c r="AC13" s="27" t="s">
        <v>168</v>
      </c>
      <c r="AD13" s="26">
        <v>5.0</v>
      </c>
      <c r="AE13" s="26">
        <v>13.0</v>
      </c>
    </row>
    <row r="14">
      <c r="A14" s="25" t="s">
        <v>535</v>
      </c>
      <c r="B14" s="25" t="s">
        <v>488</v>
      </c>
      <c r="C14" s="25" t="s">
        <v>536</v>
      </c>
      <c r="D14" s="25" t="s">
        <v>537</v>
      </c>
      <c r="E14" s="25" t="s">
        <v>408</v>
      </c>
      <c r="F14" s="30">
        <v>32600.0</v>
      </c>
      <c r="G14" s="25" t="s">
        <v>409</v>
      </c>
      <c r="H14" s="31">
        <v>6.0</v>
      </c>
      <c r="I14" s="25" t="s">
        <v>37</v>
      </c>
      <c r="J14" s="25" t="s">
        <v>37</v>
      </c>
      <c r="K14" s="25" t="s">
        <v>528</v>
      </c>
      <c r="L14" s="25" t="s">
        <v>43</v>
      </c>
      <c r="M14" s="25" t="s">
        <v>177</v>
      </c>
      <c r="N14" s="25" t="s">
        <v>487</v>
      </c>
      <c r="O14" s="28" t="s">
        <v>538</v>
      </c>
      <c r="P14" s="25" t="s">
        <v>539</v>
      </c>
      <c r="Q14" s="25" t="s">
        <v>540</v>
      </c>
      <c r="R14" s="25" t="s">
        <v>541</v>
      </c>
      <c r="S14" s="30">
        <v>42067.0</v>
      </c>
      <c r="T14" s="25" t="s">
        <v>415</v>
      </c>
      <c r="U14" s="25" t="s">
        <v>65</v>
      </c>
      <c r="V14" s="25" t="s">
        <v>461</v>
      </c>
      <c r="W14" s="25" t="s">
        <v>542</v>
      </c>
      <c r="X14" s="25" t="s">
        <v>543</v>
      </c>
      <c r="Y14" s="32">
        <v>56.99</v>
      </c>
      <c r="Z14" s="25" t="s">
        <v>419</v>
      </c>
      <c r="AA14" s="25" t="s">
        <v>534</v>
      </c>
      <c r="AB14" s="25" t="s">
        <v>72</v>
      </c>
      <c r="AC14" s="25" t="s">
        <v>164</v>
      </c>
      <c r="AD14" s="24">
        <v>10.0</v>
      </c>
      <c r="AE14" s="24">
        <v>11.0</v>
      </c>
    </row>
    <row r="15">
      <c r="A15" s="27" t="s">
        <v>544</v>
      </c>
      <c r="B15" s="27" t="s">
        <v>545</v>
      </c>
      <c r="C15" s="27" t="s">
        <v>546</v>
      </c>
      <c r="D15" s="27" t="s">
        <v>547</v>
      </c>
      <c r="E15" s="27" t="s">
        <v>408</v>
      </c>
      <c r="F15" s="33">
        <v>29749.0</v>
      </c>
      <c r="G15" s="27" t="s">
        <v>409</v>
      </c>
      <c r="H15" s="34">
        <v>6.0</v>
      </c>
      <c r="I15" s="27" t="s">
        <v>37</v>
      </c>
      <c r="J15" s="27" t="s">
        <v>37</v>
      </c>
      <c r="K15" s="27" t="s">
        <v>528</v>
      </c>
      <c r="L15" s="27" t="s">
        <v>23</v>
      </c>
      <c r="M15" s="27" t="s">
        <v>192</v>
      </c>
      <c r="N15" s="27" t="s">
        <v>506</v>
      </c>
      <c r="O15" s="35" t="s">
        <v>548</v>
      </c>
      <c r="P15" s="27" t="s">
        <v>549</v>
      </c>
      <c r="Q15" s="27" t="s">
        <v>550</v>
      </c>
      <c r="R15" s="27" t="s">
        <v>551</v>
      </c>
      <c r="S15" s="33">
        <v>41723.0</v>
      </c>
      <c r="T15" s="27" t="s">
        <v>415</v>
      </c>
      <c r="U15" s="27" t="s">
        <v>65</v>
      </c>
      <c r="V15" s="27" t="s">
        <v>461</v>
      </c>
      <c r="W15" s="27" t="s">
        <v>452</v>
      </c>
      <c r="X15" s="27" t="s">
        <v>432</v>
      </c>
      <c r="Y15" s="36">
        <v>66.0</v>
      </c>
      <c r="Z15" s="27" t="s">
        <v>419</v>
      </c>
      <c r="AA15" s="27" t="s">
        <v>534</v>
      </c>
      <c r="AB15" s="27" t="s">
        <v>72</v>
      </c>
      <c r="AC15" s="27" t="s">
        <v>151</v>
      </c>
      <c r="AD15" s="26">
        <v>11.0</v>
      </c>
      <c r="AE15" s="26">
        <v>11.0</v>
      </c>
    </row>
    <row r="16">
      <c r="A16" s="25" t="s">
        <v>552</v>
      </c>
      <c r="B16" s="25" t="s">
        <v>553</v>
      </c>
      <c r="C16" s="25" t="s">
        <v>554</v>
      </c>
      <c r="D16" s="25" t="s">
        <v>555</v>
      </c>
      <c r="E16" s="25" t="s">
        <v>424</v>
      </c>
      <c r="F16" s="30">
        <v>29996.0</v>
      </c>
      <c r="G16" s="25" t="s">
        <v>409</v>
      </c>
      <c r="H16" s="31">
        <v>6.0</v>
      </c>
      <c r="I16" s="25" t="s">
        <v>37</v>
      </c>
      <c r="J16" s="25" t="s">
        <v>37</v>
      </c>
      <c r="K16" s="25" t="s">
        <v>528</v>
      </c>
      <c r="L16" s="25" t="s">
        <v>19</v>
      </c>
      <c r="M16" s="25" t="s">
        <v>183</v>
      </c>
      <c r="N16" s="25" t="s">
        <v>506</v>
      </c>
      <c r="O16" s="28" t="s">
        <v>556</v>
      </c>
      <c r="P16" s="25" t="s">
        <v>557</v>
      </c>
      <c r="Q16" s="25" t="s">
        <v>558</v>
      </c>
      <c r="R16" s="25" t="s">
        <v>559</v>
      </c>
      <c r="S16" s="30">
        <v>45112.0</v>
      </c>
      <c r="T16" s="25" t="s">
        <v>415</v>
      </c>
      <c r="U16" s="25" t="s">
        <v>65</v>
      </c>
      <c r="V16" s="25" t="s">
        <v>560</v>
      </c>
      <c r="W16" s="25" t="s">
        <v>522</v>
      </c>
      <c r="X16" s="25" t="s">
        <v>561</v>
      </c>
      <c r="Y16" s="32">
        <v>60.52</v>
      </c>
      <c r="Z16" s="25" t="s">
        <v>419</v>
      </c>
      <c r="AA16" s="25" t="s">
        <v>534</v>
      </c>
      <c r="AB16" s="25" t="s">
        <v>76</v>
      </c>
      <c r="AC16" s="25" t="s">
        <v>149</v>
      </c>
      <c r="AD16" s="24">
        <v>3.0</v>
      </c>
      <c r="AE16" s="24">
        <v>11.0</v>
      </c>
    </row>
    <row r="17">
      <c r="A17" s="27" t="s">
        <v>562</v>
      </c>
      <c r="B17" s="27" t="s">
        <v>563</v>
      </c>
      <c r="C17" s="27" t="s">
        <v>564</v>
      </c>
      <c r="D17" s="27" t="s">
        <v>565</v>
      </c>
      <c r="E17" s="27" t="s">
        <v>408</v>
      </c>
      <c r="F17" s="33">
        <v>33231.0</v>
      </c>
      <c r="G17" s="27" t="s">
        <v>409</v>
      </c>
      <c r="H17" s="34">
        <v>6.0</v>
      </c>
      <c r="I17" s="27" t="s">
        <v>37</v>
      </c>
      <c r="J17" s="27" t="s">
        <v>37</v>
      </c>
      <c r="K17" s="27" t="s">
        <v>528</v>
      </c>
      <c r="L17" s="27" t="s">
        <v>19</v>
      </c>
      <c r="M17" s="27" t="s">
        <v>183</v>
      </c>
      <c r="N17" s="27" t="s">
        <v>497</v>
      </c>
      <c r="O17" s="35" t="s">
        <v>566</v>
      </c>
      <c r="P17" s="27" t="s">
        <v>567</v>
      </c>
      <c r="Q17" s="27" t="s">
        <v>568</v>
      </c>
      <c r="R17" s="27" t="s">
        <v>569</v>
      </c>
      <c r="S17" s="33">
        <v>45128.0</v>
      </c>
      <c r="T17" s="27" t="s">
        <v>415</v>
      </c>
      <c r="U17" s="27" t="s">
        <v>65</v>
      </c>
      <c r="V17" s="27" t="s">
        <v>570</v>
      </c>
      <c r="W17" s="27" t="s">
        <v>442</v>
      </c>
      <c r="X17" s="27" t="s">
        <v>474</v>
      </c>
      <c r="Y17" s="36">
        <v>64.24</v>
      </c>
      <c r="Z17" s="27" t="s">
        <v>419</v>
      </c>
      <c r="AA17" s="27" t="s">
        <v>534</v>
      </c>
      <c r="AB17" s="27" t="s">
        <v>72</v>
      </c>
      <c r="AC17" s="27" t="s">
        <v>149</v>
      </c>
      <c r="AD17" s="26">
        <v>3.0</v>
      </c>
      <c r="AE17" s="26">
        <v>11.0</v>
      </c>
    </row>
    <row r="18">
      <c r="A18" s="25" t="s">
        <v>571</v>
      </c>
      <c r="B18" s="25" t="s">
        <v>572</v>
      </c>
      <c r="C18" s="25" t="s">
        <v>573</v>
      </c>
      <c r="D18" s="25" t="s">
        <v>574</v>
      </c>
      <c r="E18" s="25" t="s">
        <v>424</v>
      </c>
      <c r="F18" s="30">
        <v>30248.0</v>
      </c>
      <c r="G18" s="25" t="s">
        <v>575</v>
      </c>
      <c r="H18" s="31">
        <v>6.0</v>
      </c>
      <c r="I18" s="25" t="s">
        <v>37</v>
      </c>
      <c r="J18" s="25" t="s">
        <v>37</v>
      </c>
      <c r="K18" s="25" t="s">
        <v>528</v>
      </c>
      <c r="L18" s="25" t="s">
        <v>39</v>
      </c>
      <c r="M18" s="25" t="s">
        <v>192</v>
      </c>
      <c r="N18" s="25" t="s">
        <v>506</v>
      </c>
      <c r="O18" s="28" t="s">
        <v>576</v>
      </c>
      <c r="P18" s="25" t="s">
        <v>577</v>
      </c>
      <c r="Q18" s="25" t="s">
        <v>578</v>
      </c>
      <c r="R18" s="25" t="s">
        <v>579</v>
      </c>
      <c r="S18" s="30">
        <v>42934.0</v>
      </c>
      <c r="T18" s="25" t="s">
        <v>415</v>
      </c>
      <c r="U18" s="25" t="s">
        <v>65</v>
      </c>
      <c r="V18" s="25" t="s">
        <v>533</v>
      </c>
      <c r="W18" s="25" t="s">
        <v>580</v>
      </c>
      <c r="X18" s="25" t="s">
        <v>561</v>
      </c>
      <c r="Y18" s="32">
        <v>74.1</v>
      </c>
      <c r="Z18" s="25" t="s">
        <v>419</v>
      </c>
      <c r="AA18" s="25" t="s">
        <v>534</v>
      </c>
      <c r="AB18" s="25" t="s">
        <v>76</v>
      </c>
      <c r="AC18" s="25" t="s">
        <v>163</v>
      </c>
      <c r="AD18" s="24">
        <v>9.0</v>
      </c>
      <c r="AE18" s="24">
        <v>13.0</v>
      </c>
    </row>
    <row r="19">
      <c r="A19" s="27" t="s">
        <v>581</v>
      </c>
      <c r="B19" s="27" t="s">
        <v>582</v>
      </c>
      <c r="C19" s="27" t="s">
        <v>583</v>
      </c>
      <c r="D19" s="27" t="s">
        <v>584</v>
      </c>
      <c r="E19" s="27" t="s">
        <v>408</v>
      </c>
      <c r="F19" s="33">
        <v>32380.0</v>
      </c>
      <c r="G19" s="27" t="s">
        <v>409</v>
      </c>
      <c r="H19" s="34">
        <v>6.0</v>
      </c>
      <c r="I19" s="27" t="s">
        <v>37</v>
      </c>
      <c r="J19" s="27" t="s">
        <v>37</v>
      </c>
      <c r="K19" s="27" t="s">
        <v>528</v>
      </c>
      <c r="L19" s="27" t="s">
        <v>19</v>
      </c>
      <c r="M19" s="27" t="s">
        <v>200</v>
      </c>
      <c r="N19" s="27" t="s">
        <v>475</v>
      </c>
      <c r="O19" s="35" t="s">
        <v>585</v>
      </c>
      <c r="P19" s="27" t="s">
        <v>586</v>
      </c>
      <c r="Q19" s="27" t="s">
        <v>587</v>
      </c>
      <c r="R19" s="27" t="s">
        <v>588</v>
      </c>
      <c r="S19" s="33">
        <v>44513.0</v>
      </c>
      <c r="T19" s="27" t="s">
        <v>415</v>
      </c>
      <c r="U19" s="27" t="s">
        <v>65</v>
      </c>
      <c r="V19" s="27" t="s">
        <v>441</v>
      </c>
      <c r="W19" s="27" t="s">
        <v>452</v>
      </c>
      <c r="X19" s="27" t="s">
        <v>543</v>
      </c>
      <c r="Y19" s="36">
        <v>87.55</v>
      </c>
      <c r="Z19" s="27" t="s">
        <v>419</v>
      </c>
      <c r="AA19" s="27" t="s">
        <v>534</v>
      </c>
      <c r="AB19" s="27" t="s">
        <v>76</v>
      </c>
      <c r="AC19" s="27" t="s">
        <v>149</v>
      </c>
      <c r="AD19" s="26">
        <v>5.0</v>
      </c>
      <c r="AE19" s="26">
        <v>12.0</v>
      </c>
    </row>
    <row r="20">
      <c r="A20" s="25" t="s">
        <v>589</v>
      </c>
      <c r="B20" s="25" t="s">
        <v>590</v>
      </c>
      <c r="C20" s="25" t="s">
        <v>477</v>
      </c>
      <c r="D20" s="25" t="s">
        <v>591</v>
      </c>
      <c r="E20" s="25" t="s">
        <v>424</v>
      </c>
      <c r="F20" s="30">
        <v>31153.0</v>
      </c>
      <c r="G20" s="25" t="s">
        <v>468</v>
      </c>
      <c r="H20" s="31">
        <v>6.0</v>
      </c>
      <c r="I20" s="25" t="s">
        <v>37</v>
      </c>
      <c r="J20" s="25" t="s">
        <v>37</v>
      </c>
      <c r="K20" s="25" t="s">
        <v>528</v>
      </c>
      <c r="L20" s="25" t="s">
        <v>19</v>
      </c>
      <c r="M20" s="25" t="s">
        <v>200</v>
      </c>
      <c r="N20" s="25" t="s">
        <v>515</v>
      </c>
      <c r="O20" s="28" t="s">
        <v>592</v>
      </c>
      <c r="P20" s="25" t="s">
        <v>593</v>
      </c>
      <c r="Q20" s="25" t="s">
        <v>594</v>
      </c>
      <c r="R20" s="25" t="s">
        <v>595</v>
      </c>
      <c r="S20" s="30">
        <v>45408.0</v>
      </c>
      <c r="T20" s="25" t="s">
        <v>415</v>
      </c>
      <c r="U20" s="25" t="s">
        <v>65</v>
      </c>
      <c r="V20" s="25" t="s">
        <v>596</v>
      </c>
      <c r="W20" s="25" t="s">
        <v>442</v>
      </c>
      <c r="X20" s="25" t="s">
        <v>486</v>
      </c>
      <c r="Y20" s="32">
        <v>62.8</v>
      </c>
      <c r="Z20" s="25" t="s">
        <v>419</v>
      </c>
      <c r="AA20" s="25" t="s">
        <v>534</v>
      </c>
      <c r="AB20" s="25" t="s">
        <v>74</v>
      </c>
      <c r="AC20" s="25" t="s">
        <v>149</v>
      </c>
      <c r="AD20" s="24">
        <v>2.0</v>
      </c>
      <c r="AE20" s="24">
        <v>14.0</v>
      </c>
    </row>
    <row r="21" ht="15.75" customHeight="1">
      <c r="A21" s="27" t="s">
        <v>597</v>
      </c>
      <c r="B21" s="27" t="s">
        <v>598</v>
      </c>
      <c r="C21" s="27" t="s">
        <v>564</v>
      </c>
      <c r="D21" s="27" t="s">
        <v>599</v>
      </c>
      <c r="E21" s="27" t="s">
        <v>424</v>
      </c>
      <c r="F21" s="33">
        <v>34274.0</v>
      </c>
      <c r="G21" s="27" t="s">
        <v>409</v>
      </c>
      <c r="H21" s="34">
        <v>7.0</v>
      </c>
      <c r="I21" s="27" t="s">
        <v>41</v>
      </c>
      <c r="J21" s="27" t="s">
        <v>41</v>
      </c>
      <c r="K21" s="27" t="s">
        <v>600</v>
      </c>
      <c r="L21" s="27" t="s">
        <v>31</v>
      </c>
      <c r="M21" s="27" t="s">
        <v>220</v>
      </c>
      <c r="N21" s="27" t="s">
        <v>571</v>
      </c>
      <c r="O21" s="35" t="s">
        <v>601</v>
      </c>
      <c r="P21" s="27" t="s">
        <v>602</v>
      </c>
      <c r="Q21" s="27" t="s">
        <v>603</v>
      </c>
      <c r="R21" s="27" t="s">
        <v>604</v>
      </c>
      <c r="S21" s="33">
        <v>44379.0</v>
      </c>
      <c r="T21" s="27" t="s">
        <v>415</v>
      </c>
      <c r="U21" s="27" t="s">
        <v>65</v>
      </c>
      <c r="V21" s="27" t="s">
        <v>533</v>
      </c>
      <c r="W21" s="27" t="s">
        <v>442</v>
      </c>
      <c r="X21" s="27" t="s">
        <v>474</v>
      </c>
      <c r="Y21" s="36">
        <v>42.84</v>
      </c>
      <c r="Z21" s="27" t="s">
        <v>419</v>
      </c>
      <c r="AA21" s="27" t="s">
        <v>534</v>
      </c>
      <c r="AB21" s="27" t="s">
        <v>74</v>
      </c>
      <c r="AC21" s="27" t="s">
        <v>157</v>
      </c>
      <c r="AD21" s="26">
        <v>4.0</v>
      </c>
      <c r="AE21" s="26">
        <v>11.0</v>
      </c>
    </row>
    <row r="22" ht="15.75" customHeight="1">
      <c r="A22" s="25" t="s">
        <v>605</v>
      </c>
      <c r="B22" s="25" t="s">
        <v>606</v>
      </c>
      <c r="C22" s="25" t="s">
        <v>508</v>
      </c>
      <c r="D22" s="25" t="s">
        <v>607</v>
      </c>
      <c r="E22" s="25" t="s">
        <v>408</v>
      </c>
      <c r="F22" s="30">
        <v>33495.0</v>
      </c>
      <c r="G22" s="25" t="s">
        <v>409</v>
      </c>
      <c r="H22" s="31">
        <v>7.0</v>
      </c>
      <c r="I22" s="25" t="s">
        <v>41</v>
      </c>
      <c r="J22" s="25" t="s">
        <v>41</v>
      </c>
      <c r="K22" s="25" t="s">
        <v>600</v>
      </c>
      <c r="L22" s="25" t="s">
        <v>19</v>
      </c>
      <c r="M22" s="25" t="s">
        <v>188</v>
      </c>
      <c r="N22" s="25" t="s">
        <v>552</v>
      </c>
      <c r="O22" s="28" t="s">
        <v>608</v>
      </c>
      <c r="P22" s="25" t="s">
        <v>609</v>
      </c>
      <c r="Q22" s="25" t="s">
        <v>610</v>
      </c>
      <c r="R22" s="25" t="s">
        <v>611</v>
      </c>
      <c r="S22" s="30">
        <v>43787.0</v>
      </c>
      <c r="T22" s="25" t="s">
        <v>495</v>
      </c>
      <c r="U22" s="25" t="s">
        <v>65</v>
      </c>
      <c r="V22" s="25" t="s">
        <v>612</v>
      </c>
      <c r="W22" s="25" t="s">
        <v>431</v>
      </c>
      <c r="X22" s="25" t="s">
        <v>561</v>
      </c>
      <c r="Y22" s="32">
        <v>38.12</v>
      </c>
      <c r="Z22" s="25" t="s">
        <v>419</v>
      </c>
      <c r="AA22" s="25" t="s">
        <v>534</v>
      </c>
      <c r="AB22" s="25" t="s">
        <v>76</v>
      </c>
      <c r="AC22" s="25" t="s">
        <v>149</v>
      </c>
      <c r="AD22" s="24">
        <v>7.0</v>
      </c>
      <c r="AE22" s="24">
        <v>9.0</v>
      </c>
    </row>
    <row r="23" ht="15.75" customHeight="1">
      <c r="A23" s="27" t="s">
        <v>613</v>
      </c>
      <c r="B23" s="27" t="s">
        <v>524</v>
      </c>
      <c r="C23" s="27" t="s">
        <v>466</v>
      </c>
      <c r="D23" s="27" t="s">
        <v>614</v>
      </c>
      <c r="E23" s="27" t="s">
        <v>408</v>
      </c>
      <c r="F23" s="33">
        <v>33456.0</v>
      </c>
      <c r="G23" s="27" t="s">
        <v>409</v>
      </c>
      <c r="H23" s="34">
        <v>7.0</v>
      </c>
      <c r="I23" s="27" t="s">
        <v>41</v>
      </c>
      <c r="J23" s="27" t="s">
        <v>41</v>
      </c>
      <c r="K23" s="27" t="s">
        <v>600</v>
      </c>
      <c r="L23" s="27" t="s">
        <v>35</v>
      </c>
      <c r="M23" s="27" t="s">
        <v>183</v>
      </c>
      <c r="N23" s="27" t="s">
        <v>589</v>
      </c>
      <c r="O23" s="35" t="s">
        <v>615</v>
      </c>
      <c r="P23" s="27" t="s">
        <v>616</v>
      </c>
      <c r="Q23" s="27" t="s">
        <v>617</v>
      </c>
      <c r="R23" s="27" t="s">
        <v>618</v>
      </c>
      <c r="S23" s="33">
        <v>43279.0</v>
      </c>
      <c r="T23" s="27" t="s">
        <v>415</v>
      </c>
      <c r="U23" s="27" t="s">
        <v>65</v>
      </c>
      <c r="V23" s="27" t="s">
        <v>461</v>
      </c>
      <c r="W23" s="27" t="s">
        <v>496</v>
      </c>
      <c r="X23" s="27" t="s">
        <v>619</v>
      </c>
      <c r="Y23" s="36">
        <v>54.64</v>
      </c>
      <c r="Z23" s="27" t="s">
        <v>419</v>
      </c>
      <c r="AA23" s="27" t="s">
        <v>534</v>
      </c>
      <c r="AB23" s="27" t="s">
        <v>74</v>
      </c>
      <c r="AC23" s="27" t="s">
        <v>160</v>
      </c>
      <c r="AD23" s="26">
        <v>7.0</v>
      </c>
      <c r="AE23" s="26">
        <v>9.0</v>
      </c>
    </row>
    <row r="24" ht="15.75" customHeight="1">
      <c r="A24" s="25" t="s">
        <v>620</v>
      </c>
      <c r="B24" s="25" t="s">
        <v>621</v>
      </c>
      <c r="C24" s="25" t="s">
        <v>622</v>
      </c>
      <c r="D24" s="25" t="s">
        <v>623</v>
      </c>
      <c r="E24" s="25" t="s">
        <v>408</v>
      </c>
      <c r="F24" s="30">
        <v>33401.0</v>
      </c>
      <c r="G24" s="25" t="s">
        <v>527</v>
      </c>
      <c r="H24" s="31">
        <v>7.0</v>
      </c>
      <c r="I24" s="25" t="s">
        <v>41</v>
      </c>
      <c r="J24" s="25" t="s">
        <v>41</v>
      </c>
      <c r="K24" s="25" t="s">
        <v>600</v>
      </c>
      <c r="L24" s="25" t="s">
        <v>23</v>
      </c>
      <c r="M24" s="25" t="s">
        <v>200</v>
      </c>
      <c r="N24" s="25" t="s">
        <v>562</v>
      </c>
      <c r="O24" s="28" t="s">
        <v>624</v>
      </c>
      <c r="P24" s="25" t="s">
        <v>625</v>
      </c>
      <c r="Q24" s="25" t="s">
        <v>626</v>
      </c>
      <c r="R24" s="25" t="s">
        <v>627</v>
      </c>
      <c r="S24" s="30">
        <v>43735.0</v>
      </c>
      <c r="T24" s="25" t="s">
        <v>415</v>
      </c>
      <c r="U24" s="25" t="s">
        <v>65</v>
      </c>
      <c r="V24" s="25" t="s">
        <v>441</v>
      </c>
      <c r="W24" s="25" t="s">
        <v>417</v>
      </c>
      <c r="X24" s="25" t="s">
        <v>418</v>
      </c>
      <c r="Y24" s="32">
        <v>38.68</v>
      </c>
      <c r="Z24" s="25" t="s">
        <v>419</v>
      </c>
      <c r="AA24" s="25" t="s">
        <v>534</v>
      </c>
      <c r="AB24" s="25" t="s">
        <v>72</v>
      </c>
      <c r="AC24" s="25" t="s">
        <v>151</v>
      </c>
      <c r="AD24" s="24">
        <v>7.0</v>
      </c>
      <c r="AE24" s="24">
        <v>11.0</v>
      </c>
    </row>
    <row r="25" ht="15.75" customHeight="1">
      <c r="A25" s="27" t="s">
        <v>628</v>
      </c>
      <c r="B25" s="27" t="s">
        <v>629</v>
      </c>
      <c r="C25" s="27" t="s">
        <v>489</v>
      </c>
      <c r="D25" s="27" t="s">
        <v>630</v>
      </c>
      <c r="E25" s="27" t="s">
        <v>424</v>
      </c>
      <c r="F25" s="33">
        <v>31286.0</v>
      </c>
      <c r="G25" s="27" t="s">
        <v>409</v>
      </c>
      <c r="H25" s="34">
        <v>7.0</v>
      </c>
      <c r="I25" s="27" t="s">
        <v>41</v>
      </c>
      <c r="J25" s="27" t="s">
        <v>41</v>
      </c>
      <c r="K25" s="27" t="s">
        <v>600</v>
      </c>
      <c r="L25" s="27" t="s">
        <v>19</v>
      </c>
      <c r="M25" s="27" t="s">
        <v>196</v>
      </c>
      <c r="N25" s="27" t="s">
        <v>589</v>
      </c>
      <c r="O25" s="35" t="s">
        <v>631</v>
      </c>
      <c r="P25" s="27" t="s">
        <v>632</v>
      </c>
      <c r="Q25" s="27" t="s">
        <v>633</v>
      </c>
      <c r="R25" s="27" t="s">
        <v>634</v>
      </c>
      <c r="S25" s="33">
        <v>43805.0</v>
      </c>
      <c r="T25" s="27" t="s">
        <v>415</v>
      </c>
      <c r="U25" s="27" t="s">
        <v>65</v>
      </c>
      <c r="V25" s="27" t="s">
        <v>441</v>
      </c>
      <c r="W25" s="27" t="s">
        <v>485</v>
      </c>
      <c r="X25" s="27" t="s">
        <v>619</v>
      </c>
      <c r="Y25" s="36">
        <v>55.1</v>
      </c>
      <c r="Z25" s="27" t="s">
        <v>419</v>
      </c>
      <c r="AA25" s="27" t="s">
        <v>534</v>
      </c>
      <c r="AB25" s="27" t="s">
        <v>74</v>
      </c>
      <c r="AC25" s="27" t="s">
        <v>149</v>
      </c>
      <c r="AD25" s="26">
        <v>7.0</v>
      </c>
      <c r="AE25" s="26">
        <v>9.0</v>
      </c>
    </row>
    <row r="26" ht="15.75" customHeight="1">
      <c r="A26" s="25" t="s">
        <v>635</v>
      </c>
      <c r="B26" s="25" t="s">
        <v>636</v>
      </c>
      <c r="C26" s="25" t="s">
        <v>637</v>
      </c>
      <c r="D26" s="25" t="s">
        <v>638</v>
      </c>
      <c r="E26" s="25" t="s">
        <v>424</v>
      </c>
      <c r="F26" s="30">
        <v>33120.0</v>
      </c>
      <c r="G26" s="25" t="s">
        <v>409</v>
      </c>
      <c r="H26" s="31">
        <v>7.0</v>
      </c>
      <c r="I26" s="25" t="s">
        <v>41</v>
      </c>
      <c r="J26" s="25" t="s">
        <v>41</v>
      </c>
      <c r="K26" s="25" t="s">
        <v>600</v>
      </c>
      <c r="L26" s="25" t="s">
        <v>35</v>
      </c>
      <c r="M26" s="25" t="s">
        <v>196</v>
      </c>
      <c r="N26" s="25" t="s">
        <v>562</v>
      </c>
      <c r="O26" s="28" t="s">
        <v>639</v>
      </c>
      <c r="P26" s="25" t="s">
        <v>640</v>
      </c>
      <c r="Q26" s="25" t="s">
        <v>641</v>
      </c>
      <c r="R26" s="25" t="s">
        <v>642</v>
      </c>
      <c r="S26" s="30">
        <v>44650.0</v>
      </c>
      <c r="T26" s="25" t="s">
        <v>415</v>
      </c>
      <c r="U26" s="25" t="s">
        <v>65</v>
      </c>
      <c r="V26" s="25" t="s">
        <v>461</v>
      </c>
      <c r="W26" s="25" t="s">
        <v>442</v>
      </c>
      <c r="X26" s="25" t="s">
        <v>619</v>
      </c>
      <c r="Y26" s="32">
        <v>38.98</v>
      </c>
      <c r="Z26" s="25" t="s">
        <v>419</v>
      </c>
      <c r="AA26" s="25" t="s">
        <v>534</v>
      </c>
      <c r="AB26" s="25" t="s">
        <v>76</v>
      </c>
      <c r="AC26" s="25" t="s">
        <v>160</v>
      </c>
      <c r="AD26" s="24">
        <v>4.0</v>
      </c>
      <c r="AE26" s="24">
        <v>9.0</v>
      </c>
    </row>
    <row r="27" ht="15.75" customHeight="1">
      <c r="A27" s="27" t="s">
        <v>643</v>
      </c>
      <c r="B27" s="27" t="s">
        <v>644</v>
      </c>
      <c r="C27" s="27" t="s">
        <v>645</v>
      </c>
      <c r="D27" s="27" t="s">
        <v>646</v>
      </c>
      <c r="E27" s="27" t="s">
        <v>424</v>
      </c>
      <c r="F27" s="33">
        <v>33604.0</v>
      </c>
      <c r="G27" s="27" t="s">
        <v>409</v>
      </c>
      <c r="H27" s="34">
        <v>7.0</v>
      </c>
      <c r="I27" s="27" t="s">
        <v>41</v>
      </c>
      <c r="J27" s="27" t="s">
        <v>41</v>
      </c>
      <c r="K27" s="27" t="s">
        <v>600</v>
      </c>
      <c r="L27" s="27" t="s">
        <v>19</v>
      </c>
      <c r="M27" s="27" t="s">
        <v>183</v>
      </c>
      <c r="N27" s="27" t="s">
        <v>535</v>
      </c>
      <c r="O27" s="35" t="s">
        <v>647</v>
      </c>
      <c r="P27" s="27" t="s">
        <v>648</v>
      </c>
      <c r="Q27" s="27" t="s">
        <v>649</v>
      </c>
      <c r="R27" s="27" t="s">
        <v>650</v>
      </c>
      <c r="S27" s="33">
        <v>44437.0</v>
      </c>
      <c r="T27" s="27" t="s">
        <v>415</v>
      </c>
      <c r="U27" s="27" t="s">
        <v>65</v>
      </c>
      <c r="V27" s="27" t="s">
        <v>461</v>
      </c>
      <c r="W27" s="27" t="s">
        <v>417</v>
      </c>
      <c r="X27" s="27" t="s">
        <v>474</v>
      </c>
      <c r="Y27" s="36">
        <v>38.82</v>
      </c>
      <c r="Z27" s="27" t="s">
        <v>419</v>
      </c>
      <c r="AA27" s="27" t="s">
        <v>534</v>
      </c>
      <c r="AB27" s="27" t="s">
        <v>72</v>
      </c>
      <c r="AC27" s="27" t="s">
        <v>149</v>
      </c>
      <c r="AD27" s="26">
        <v>4.0</v>
      </c>
      <c r="AE27" s="26">
        <v>9.0</v>
      </c>
    </row>
    <row r="28" ht="15.75" customHeight="1">
      <c r="A28" s="25" t="s">
        <v>651</v>
      </c>
      <c r="B28" s="25" t="s">
        <v>652</v>
      </c>
      <c r="C28" s="25" t="s">
        <v>536</v>
      </c>
      <c r="D28" s="25" t="s">
        <v>653</v>
      </c>
      <c r="E28" s="25" t="s">
        <v>424</v>
      </c>
      <c r="F28" s="30">
        <v>34557.0</v>
      </c>
      <c r="G28" s="25" t="s">
        <v>409</v>
      </c>
      <c r="H28" s="31">
        <v>7.0</v>
      </c>
      <c r="I28" s="25" t="s">
        <v>41</v>
      </c>
      <c r="J28" s="25" t="s">
        <v>41</v>
      </c>
      <c r="K28" s="25" t="s">
        <v>600</v>
      </c>
      <c r="L28" s="25" t="s">
        <v>51</v>
      </c>
      <c r="M28" s="25" t="s">
        <v>200</v>
      </c>
      <c r="N28" s="25" t="s">
        <v>535</v>
      </c>
      <c r="O28" s="28" t="s">
        <v>654</v>
      </c>
      <c r="P28" s="25" t="s">
        <v>655</v>
      </c>
      <c r="Q28" s="25" t="s">
        <v>656</v>
      </c>
      <c r="R28" s="25" t="s">
        <v>657</v>
      </c>
      <c r="S28" s="30">
        <v>43121.0</v>
      </c>
      <c r="T28" s="25" t="s">
        <v>415</v>
      </c>
      <c r="U28" s="25" t="s">
        <v>73</v>
      </c>
      <c r="V28" s="25" t="s">
        <v>596</v>
      </c>
      <c r="W28" s="25" t="s">
        <v>542</v>
      </c>
      <c r="X28" s="25" t="s">
        <v>619</v>
      </c>
      <c r="Y28" s="32">
        <v>44.75</v>
      </c>
      <c r="Z28" s="25" t="s">
        <v>419</v>
      </c>
      <c r="AA28" s="25" t="s">
        <v>534</v>
      </c>
      <c r="AB28" s="25" t="s">
        <v>76</v>
      </c>
      <c r="AC28" s="25" t="s">
        <v>168</v>
      </c>
      <c r="AD28" s="24">
        <v>7.0</v>
      </c>
      <c r="AE28" s="24">
        <v>9.0</v>
      </c>
    </row>
    <row r="29" ht="15.75" customHeight="1">
      <c r="A29" s="27" t="s">
        <v>658</v>
      </c>
      <c r="B29" s="27" t="s">
        <v>659</v>
      </c>
      <c r="C29" s="27" t="s">
        <v>525</v>
      </c>
      <c r="D29" s="27" t="s">
        <v>660</v>
      </c>
      <c r="E29" s="27" t="s">
        <v>424</v>
      </c>
      <c r="F29" s="33">
        <v>30800.0</v>
      </c>
      <c r="G29" s="27" t="s">
        <v>409</v>
      </c>
      <c r="H29" s="34">
        <v>7.0</v>
      </c>
      <c r="I29" s="27" t="s">
        <v>41</v>
      </c>
      <c r="J29" s="27" t="s">
        <v>41</v>
      </c>
      <c r="K29" s="27" t="s">
        <v>600</v>
      </c>
      <c r="L29" s="27" t="s">
        <v>35</v>
      </c>
      <c r="M29" s="27" t="s">
        <v>200</v>
      </c>
      <c r="N29" s="27" t="s">
        <v>544</v>
      </c>
      <c r="O29" s="35" t="s">
        <v>661</v>
      </c>
      <c r="P29" s="27" t="s">
        <v>662</v>
      </c>
      <c r="Q29" s="27" t="s">
        <v>663</v>
      </c>
      <c r="R29" s="27" t="s">
        <v>664</v>
      </c>
      <c r="S29" s="33">
        <v>44175.0</v>
      </c>
      <c r="T29" s="27" t="s">
        <v>415</v>
      </c>
      <c r="U29" s="27" t="s">
        <v>65</v>
      </c>
      <c r="V29" s="27" t="s">
        <v>612</v>
      </c>
      <c r="W29" s="27" t="s">
        <v>505</v>
      </c>
      <c r="X29" s="27" t="s">
        <v>543</v>
      </c>
      <c r="Y29" s="36">
        <v>50.56</v>
      </c>
      <c r="Z29" s="27" t="s">
        <v>419</v>
      </c>
      <c r="AA29" s="27" t="s">
        <v>534</v>
      </c>
      <c r="AB29" s="27" t="s">
        <v>72</v>
      </c>
      <c r="AC29" s="27" t="s">
        <v>160</v>
      </c>
      <c r="AD29" s="26">
        <v>5.0</v>
      </c>
      <c r="AE29" s="26">
        <v>9.0</v>
      </c>
    </row>
    <row r="30" ht="15.75" customHeight="1">
      <c r="A30" s="25" t="s">
        <v>665</v>
      </c>
      <c r="B30" s="25" t="s">
        <v>666</v>
      </c>
      <c r="C30" s="25" t="s">
        <v>667</v>
      </c>
      <c r="D30" s="25" t="s">
        <v>668</v>
      </c>
      <c r="E30" s="25" t="s">
        <v>424</v>
      </c>
      <c r="F30" s="30">
        <v>31747.0</v>
      </c>
      <c r="G30" s="25" t="s">
        <v>669</v>
      </c>
      <c r="H30" s="31">
        <v>7.0</v>
      </c>
      <c r="I30" s="25" t="s">
        <v>41</v>
      </c>
      <c r="J30" s="25" t="s">
        <v>41</v>
      </c>
      <c r="K30" s="25" t="s">
        <v>600</v>
      </c>
      <c r="L30" s="25" t="s">
        <v>19</v>
      </c>
      <c r="M30" s="25" t="s">
        <v>183</v>
      </c>
      <c r="N30" s="25" t="s">
        <v>562</v>
      </c>
      <c r="O30" s="28" t="s">
        <v>670</v>
      </c>
      <c r="P30" s="25" t="s">
        <v>671</v>
      </c>
      <c r="Q30" s="25" t="s">
        <v>672</v>
      </c>
      <c r="R30" s="25" t="s">
        <v>673</v>
      </c>
      <c r="S30" s="30">
        <v>44166.0</v>
      </c>
      <c r="T30" s="25" t="s">
        <v>415</v>
      </c>
      <c r="U30" s="25" t="s">
        <v>65</v>
      </c>
      <c r="V30" s="25" t="s">
        <v>441</v>
      </c>
      <c r="W30" s="25" t="s">
        <v>674</v>
      </c>
      <c r="X30" s="25" t="s">
        <v>418</v>
      </c>
      <c r="Y30" s="32">
        <v>45.54</v>
      </c>
      <c r="Z30" s="25" t="s">
        <v>419</v>
      </c>
      <c r="AA30" s="25" t="s">
        <v>534</v>
      </c>
      <c r="AB30" s="25" t="s">
        <v>76</v>
      </c>
      <c r="AC30" s="25" t="s">
        <v>149</v>
      </c>
      <c r="AD30" s="24">
        <v>5.0</v>
      </c>
      <c r="AE30" s="24">
        <v>8.0</v>
      </c>
    </row>
    <row r="31" ht="15.75" customHeight="1">
      <c r="A31" s="27" t="s">
        <v>675</v>
      </c>
      <c r="B31" s="27" t="s">
        <v>405</v>
      </c>
      <c r="C31" s="27" t="s">
        <v>489</v>
      </c>
      <c r="D31" s="27" t="s">
        <v>676</v>
      </c>
      <c r="E31" s="27" t="s">
        <v>408</v>
      </c>
      <c r="F31" s="33">
        <v>31498.0</v>
      </c>
      <c r="G31" s="27" t="s">
        <v>409</v>
      </c>
      <c r="H31" s="34">
        <v>7.0</v>
      </c>
      <c r="I31" s="27" t="s">
        <v>41</v>
      </c>
      <c r="J31" s="27" t="s">
        <v>41</v>
      </c>
      <c r="K31" s="27" t="s">
        <v>600</v>
      </c>
      <c r="L31" s="27" t="s">
        <v>35</v>
      </c>
      <c r="M31" s="27" t="s">
        <v>183</v>
      </c>
      <c r="N31" s="27" t="s">
        <v>523</v>
      </c>
      <c r="O31" s="35" t="s">
        <v>677</v>
      </c>
      <c r="P31" s="27" t="s">
        <v>678</v>
      </c>
      <c r="Q31" s="27" t="s">
        <v>679</v>
      </c>
      <c r="R31" s="27" t="s">
        <v>680</v>
      </c>
      <c r="S31" s="33">
        <v>42756.0</v>
      </c>
      <c r="T31" s="27" t="s">
        <v>415</v>
      </c>
      <c r="U31" s="27" t="s">
        <v>65</v>
      </c>
      <c r="V31" s="27" t="s">
        <v>596</v>
      </c>
      <c r="W31" s="27" t="s">
        <v>681</v>
      </c>
      <c r="X31" s="27" t="s">
        <v>561</v>
      </c>
      <c r="Y31" s="36">
        <v>52.49</v>
      </c>
      <c r="Z31" s="27" t="s">
        <v>419</v>
      </c>
      <c r="AA31" s="27" t="s">
        <v>534</v>
      </c>
      <c r="AB31" s="27" t="s">
        <v>74</v>
      </c>
      <c r="AC31" s="27" t="s">
        <v>160</v>
      </c>
      <c r="AD31" s="26">
        <v>8.0</v>
      </c>
      <c r="AE31" s="26">
        <v>8.0</v>
      </c>
    </row>
    <row r="32" ht="15.75" customHeight="1">
      <c r="A32" s="25" t="s">
        <v>682</v>
      </c>
      <c r="B32" s="25" t="s">
        <v>683</v>
      </c>
      <c r="C32" s="25" t="s">
        <v>554</v>
      </c>
      <c r="D32" s="25" t="s">
        <v>684</v>
      </c>
      <c r="E32" s="25" t="s">
        <v>408</v>
      </c>
      <c r="F32" s="30">
        <v>33456.0</v>
      </c>
      <c r="G32" s="25" t="s">
        <v>409</v>
      </c>
      <c r="H32" s="31">
        <v>7.0</v>
      </c>
      <c r="I32" s="25" t="s">
        <v>41</v>
      </c>
      <c r="J32" s="25" t="s">
        <v>41</v>
      </c>
      <c r="K32" s="25" t="s">
        <v>600</v>
      </c>
      <c r="L32" s="25" t="s">
        <v>55</v>
      </c>
      <c r="M32" s="25" t="s">
        <v>183</v>
      </c>
      <c r="N32" s="25" t="s">
        <v>552</v>
      </c>
      <c r="O32" s="28" t="s">
        <v>685</v>
      </c>
      <c r="P32" s="25" t="s">
        <v>686</v>
      </c>
      <c r="Q32" s="25" t="s">
        <v>687</v>
      </c>
      <c r="R32" s="25" t="s">
        <v>688</v>
      </c>
      <c r="S32" s="30">
        <v>44237.0</v>
      </c>
      <c r="T32" s="25" t="s">
        <v>415</v>
      </c>
      <c r="U32" s="25" t="s">
        <v>65</v>
      </c>
      <c r="V32" s="25" t="s">
        <v>461</v>
      </c>
      <c r="W32" s="25" t="s">
        <v>580</v>
      </c>
      <c r="X32" s="25" t="s">
        <v>486</v>
      </c>
      <c r="Y32" s="32">
        <v>54.31</v>
      </c>
      <c r="Z32" s="25" t="s">
        <v>419</v>
      </c>
      <c r="AA32" s="25" t="s">
        <v>534</v>
      </c>
      <c r="AB32" s="25" t="s">
        <v>76</v>
      </c>
      <c r="AC32" s="25" t="s">
        <v>169</v>
      </c>
      <c r="AD32" s="24">
        <v>5.0</v>
      </c>
      <c r="AE32" s="24">
        <v>11.0</v>
      </c>
    </row>
    <row r="33" ht="15.75" customHeight="1">
      <c r="A33" s="27" t="s">
        <v>689</v>
      </c>
      <c r="B33" s="27" t="s">
        <v>690</v>
      </c>
      <c r="C33" s="27" t="s">
        <v>622</v>
      </c>
      <c r="D33" s="27" t="s">
        <v>691</v>
      </c>
      <c r="E33" s="27" t="s">
        <v>424</v>
      </c>
      <c r="F33" s="33">
        <v>34065.0</v>
      </c>
      <c r="G33" s="27" t="s">
        <v>575</v>
      </c>
      <c r="H33" s="34">
        <v>8.0</v>
      </c>
      <c r="I33" s="27" t="s">
        <v>45</v>
      </c>
      <c r="J33" s="27" t="s">
        <v>45</v>
      </c>
      <c r="K33" s="27" t="s">
        <v>692</v>
      </c>
      <c r="L33" s="27" t="s">
        <v>51</v>
      </c>
      <c r="M33" s="27" t="s">
        <v>205</v>
      </c>
      <c r="N33" s="27" t="s">
        <v>635</v>
      </c>
      <c r="O33" s="35" t="s">
        <v>693</v>
      </c>
      <c r="P33" s="27" t="s">
        <v>694</v>
      </c>
      <c r="Q33" s="27" t="s">
        <v>695</v>
      </c>
      <c r="R33" s="27" t="s">
        <v>696</v>
      </c>
      <c r="S33" s="33">
        <v>44209.0</v>
      </c>
      <c r="T33" s="27" t="s">
        <v>415</v>
      </c>
      <c r="U33" s="27" t="s">
        <v>65</v>
      </c>
      <c r="V33" s="27" t="s">
        <v>533</v>
      </c>
      <c r="W33" s="27" t="s">
        <v>697</v>
      </c>
      <c r="X33" s="27" t="s">
        <v>619</v>
      </c>
      <c r="Y33" s="36">
        <v>30.28</v>
      </c>
      <c r="Z33" s="27" t="s">
        <v>419</v>
      </c>
      <c r="AA33" s="27" t="s">
        <v>534</v>
      </c>
      <c r="AB33" s="27" t="s">
        <v>72</v>
      </c>
      <c r="AC33" s="27" t="s">
        <v>168</v>
      </c>
      <c r="AD33" s="26">
        <v>4.0</v>
      </c>
      <c r="AE33" s="26">
        <v>9.0</v>
      </c>
    </row>
    <row r="34" ht="15.75" customHeight="1">
      <c r="A34" s="25" t="s">
        <v>698</v>
      </c>
      <c r="B34" s="25" t="s">
        <v>699</v>
      </c>
      <c r="C34" s="25" t="s">
        <v>489</v>
      </c>
      <c r="D34" s="25" t="s">
        <v>700</v>
      </c>
      <c r="E34" s="25" t="s">
        <v>424</v>
      </c>
      <c r="F34" s="30">
        <v>34815.0</v>
      </c>
      <c r="G34" s="25" t="s">
        <v>409</v>
      </c>
      <c r="H34" s="31">
        <v>8.0</v>
      </c>
      <c r="I34" s="25" t="s">
        <v>45</v>
      </c>
      <c r="J34" s="25" t="s">
        <v>45</v>
      </c>
      <c r="K34" s="25" t="s">
        <v>692</v>
      </c>
      <c r="L34" s="25" t="s">
        <v>51</v>
      </c>
      <c r="M34" s="25" t="s">
        <v>183</v>
      </c>
      <c r="N34" s="25" t="s">
        <v>613</v>
      </c>
      <c r="O34" s="28" t="s">
        <v>701</v>
      </c>
      <c r="P34" s="25" t="s">
        <v>702</v>
      </c>
      <c r="Q34" s="25" t="s">
        <v>703</v>
      </c>
      <c r="R34" s="25" t="s">
        <v>704</v>
      </c>
      <c r="S34" s="30">
        <v>45212.0</v>
      </c>
      <c r="T34" s="25" t="s">
        <v>415</v>
      </c>
      <c r="U34" s="25" t="s">
        <v>65</v>
      </c>
      <c r="V34" s="25" t="s">
        <v>596</v>
      </c>
      <c r="W34" s="25" t="s">
        <v>442</v>
      </c>
      <c r="X34" s="25" t="s">
        <v>561</v>
      </c>
      <c r="Y34" s="32">
        <v>30.9</v>
      </c>
      <c r="Z34" s="25" t="s">
        <v>419</v>
      </c>
      <c r="AA34" s="25" t="s">
        <v>534</v>
      </c>
      <c r="AB34" s="25" t="s">
        <v>72</v>
      </c>
      <c r="AC34" s="25" t="s">
        <v>168</v>
      </c>
      <c r="AD34" s="24">
        <v>2.0</v>
      </c>
      <c r="AE34" s="24">
        <v>6.0</v>
      </c>
    </row>
    <row r="35" ht="15.75" customHeight="1">
      <c r="A35" s="27" t="s">
        <v>705</v>
      </c>
      <c r="B35" s="27" t="s">
        <v>706</v>
      </c>
      <c r="C35" s="27" t="s">
        <v>489</v>
      </c>
      <c r="D35" s="27" t="s">
        <v>707</v>
      </c>
      <c r="E35" s="27" t="s">
        <v>408</v>
      </c>
      <c r="F35" s="33">
        <v>34362.0</v>
      </c>
      <c r="G35" s="27" t="s">
        <v>527</v>
      </c>
      <c r="H35" s="34">
        <v>8.0</v>
      </c>
      <c r="I35" s="27" t="s">
        <v>45</v>
      </c>
      <c r="J35" s="27" t="s">
        <v>45</v>
      </c>
      <c r="K35" s="27" t="s">
        <v>692</v>
      </c>
      <c r="L35" s="27" t="s">
        <v>31</v>
      </c>
      <c r="M35" s="27" t="s">
        <v>183</v>
      </c>
      <c r="N35" s="27" t="s">
        <v>605</v>
      </c>
      <c r="O35" s="35" t="s">
        <v>708</v>
      </c>
      <c r="P35" s="27" t="s">
        <v>709</v>
      </c>
      <c r="Q35" s="27" t="s">
        <v>710</v>
      </c>
      <c r="R35" s="27" t="s">
        <v>711</v>
      </c>
      <c r="S35" s="33">
        <v>44331.0</v>
      </c>
      <c r="T35" s="27" t="s">
        <v>415</v>
      </c>
      <c r="U35" s="27" t="s">
        <v>65</v>
      </c>
      <c r="V35" s="27" t="s">
        <v>596</v>
      </c>
      <c r="W35" s="27" t="s">
        <v>674</v>
      </c>
      <c r="X35" s="27" t="s">
        <v>619</v>
      </c>
      <c r="Y35" s="36">
        <v>23.67</v>
      </c>
      <c r="Z35" s="27" t="s">
        <v>419</v>
      </c>
      <c r="AA35" s="27" t="s">
        <v>534</v>
      </c>
      <c r="AB35" s="27" t="s">
        <v>72</v>
      </c>
      <c r="AC35" s="27" t="s">
        <v>157</v>
      </c>
      <c r="AD35" s="26">
        <v>5.0</v>
      </c>
      <c r="AE35" s="26">
        <v>8.0</v>
      </c>
    </row>
    <row r="36" ht="15.75" customHeight="1">
      <c r="A36" s="25" t="s">
        <v>712</v>
      </c>
      <c r="B36" s="25" t="s">
        <v>713</v>
      </c>
      <c r="C36" s="25" t="s">
        <v>714</v>
      </c>
      <c r="D36" s="25" t="s">
        <v>715</v>
      </c>
      <c r="E36" s="25" t="s">
        <v>424</v>
      </c>
      <c r="F36" s="30">
        <v>32854.0</v>
      </c>
      <c r="G36" s="25" t="s">
        <v>409</v>
      </c>
      <c r="H36" s="31">
        <v>8.0</v>
      </c>
      <c r="I36" s="25" t="s">
        <v>45</v>
      </c>
      <c r="J36" s="25" t="s">
        <v>45</v>
      </c>
      <c r="K36" s="25" t="s">
        <v>692</v>
      </c>
      <c r="L36" s="25" t="s">
        <v>23</v>
      </c>
      <c r="M36" s="25" t="s">
        <v>183</v>
      </c>
      <c r="N36" s="25" t="s">
        <v>682</v>
      </c>
      <c r="O36" s="28" t="s">
        <v>716</v>
      </c>
      <c r="P36" s="25" t="s">
        <v>717</v>
      </c>
      <c r="Q36" s="25" t="s">
        <v>718</v>
      </c>
      <c r="R36" s="25" t="s">
        <v>719</v>
      </c>
      <c r="S36" s="30">
        <v>44108.0</v>
      </c>
      <c r="T36" s="25" t="s">
        <v>415</v>
      </c>
      <c r="U36" s="25" t="s">
        <v>65</v>
      </c>
      <c r="V36" s="25" t="s">
        <v>612</v>
      </c>
      <c r="W36" s="25" t="s">
        <v>720</v>
      </c>
      <c r="X36" s="25" t="s">
        <v>561</v>
      </c>
      <c r="Y36" s="32">
        <v>35.72</v>
      </c>
      <c r="Z36" s="25" t="s">
        <v>419</v>
      </c>
      <c r="AA36" s="25" t="s">
        <v>534</v>
      </c>
      <c r="AB36" s="25" t="s">
        <v>72</v>
      </c>
      <c r="AC36" s="25" t="s">
        <v>151</v>
      </c>
      <c r="AD36" s="24">
        <v>5.0</v>
      </c>
      <c r="AE36" s="24">
        <v>6.0</v>
      </c>
    </row>
    <row r="37" ht="15.75" customHeight="1">
      <c r="A37" s="27" t="s">
        <v>721</v>
      </c>
      <c r="B37" s="27" t="s">
        <v>621</v>
      </c>
      <c r="C37" s="27" t="s">
        <v>722</v>
      </c>
      <c r="D37" s="27" t="s">
        <v>723</v>
      </c>
      <c r="E37" s="27" t="s">
        <v>408</v>
      </c>
      <c r="F37" s="33">
        <v>32891.0</v>
      </c>
      <c r="G37" s="27" t="s">
        <v>409</v>
      </c>
      <c r="H37" s="34">
        <v>8.0</v>
      </c>
      <c r="I37" s="27" t="s">
        <v>45</v>
      </c>
      <c r="J37" s="27" t="s">
        <v>45</v>
      </c>
      <c r="K37" s="27" t="s">
        <v>692</v>
      </c>
      <c r="L37" s="27" t="s">
        <v>19</v>
      </c>
      <c r="M37" s="27" t="s">
        <v>192</v>
      </c>
      <c r="N37" s="27" t="s">
        <v>620</v>
      </c>
      <c r="O37" s="35" t="s">
        <v>724</v>
      </c>
      <c r="P37" s="27" t="s">
        <v>725</v>
      </c>
      <c r="Q37" s="27" t="s">
        <v>726</v>
      </c>
      <c r="R37" s="27" t="s">
        <v>727</v>
      </c>
      <c r="S37" s="33">
        <v>44871.0</v>
      </c>
      <c r="T37" s="27" t="s">
        <v>415</v>
      </c>
      <c r="U37" s="27" t="s">
        <v>65</v>
      </c>
      <c r="V37" s="27" t="s">
        <v>560</v>
      </c>
      <c r="W37" s="27" t="s">
        <v>728</v>
      </c>
      <c r="X37" s="27" t="s">
        <v>619</v>
      </c>
      <c r="Y37" s="36">
        <v>38.99</v>
      </c>
      <c r="Z37" s="27" t="s">
        <v>419</v>
      </c>
      <c r="AA37" s="27" t="s">
        <v>534</v>
      </c>
      <c r="AB37" s="27" t="s">
        <v>74</v>
      </c>
      <c r="AC37" s="27" t="s">
        <v>149</v>
      </c>
      <c r="AD37" s="26">
        <v>3.0</v>
      </c>
      <c r="AE37" s="26">
        <v>9.0</v>
      </c>
    </row>
    <row r="38" ht="15.75" customHeight="1">
      <c r="A38" s="25" t="s">
        <v>729</v>
      </c>
      <c r="B38" s="25" t="s">
        <v>730</v>
      </c>
      <c r="C38" s="25" t="s">
        <v>731</v>
      </c>
      <c r="D38" s="25" t="s">
        <v>732</v>
      </c>
      <c r="E38" s="25" t="s">
        <v>424</v>
      </c>
      <c r="F38" s="30">
        <v>35367.0</v>
      </c>
      <c r="G38" s="25" t="s">
        <v>409</v>
      </c>
      <c r="H38" s="31">
        <v>8.0</v>
      </c>
      <c r="I38" s="25" t="s">
        <v>45</v>
      </c>
      <c r="J38" s="25" t="s">
        <v>45</v>
      </c>
      <c r="K38" s="25" t="s">
        <v>692</v>
      </c>
      <c r="L38" s="25" t="s">
        <v>55</v>
      </c>
      <c r="M38" s="25" t="s">
        <v>188</v>
      </c>
      <c r="N38" s="25" t="s">
        <v>635</v>
      </c>
      <c r="O38" s="28" t="s">
        <v>733</v>
      </c>
      <c r="P38" s="25" t="s">
        <v>734</v>
      </c>
      <c r="Q38" s="25" t="s">
        <v>735</v>
      </c>
      <c r="R38" s="25" t="s">
        <v>736</v>
      </c>
      <c r="S38" s="30">
        <v>45185.0</v>
      </c>
      <c r="T38" s="25" t="s">
        <v>415</v>
      </c>
      <c r="U38" s="25" t="s">
        <v>65</v>
      </c>
      <c r="V38" s="25" t="s">
        <v>441</v>
      </c>
      <c r="W38" s="25" t="s">
        <v>417</v>
      </c>
      <c r="X38" s="25" t="s">
        <v>418</v>
      </c>
      <c r="Y38" s="32">
        <v>34.36</v>
      </c>
      <c r="Z38" s="25" t="s">
        <v>419</v>
      </c>
      <c r="AA38" s="25" t="s">
        <v>534</v>
      </c>
      <c r="AB38" s="25" t="s">
        <v>72</v>
      </c>
      <c r="AC38" s="25" t="s">
        <v>169</v>
      </c>
      <c r="AD38" s="24">
        <v>2.0</v>
      </c>
      <c r="AE38" s="24">
        <v>9.0</v>
      </c>
    </row>
    <row r="39" ht="15.75" customHeight="1">
      <c r="A39" s="27" t="s">
        <v>737</v>
      </c>
      <c r="B39" s="27" t="s">
        <v>644</v>
      </c>
      <c r="C39" s="27" t="s">
        <v>738</v>
      </c>
      <c r="D39" s="27" t="s">
        <v>739</v>
      </c>
      <c r="E39" s="27" t="s">
        <v>424</v>
      </c>
      <c r="F39" s="33">
        <v>34936.0</v>
      </c>
      <c r="G39" s="27" t="s">
        <v>409</v>
      </c>
      <c r="H39" s="34">
        <v>8.0</v>
      </c>
      <c r="I39" s="27" t="s">
        <v>45</v>
      </c>
      <c r="J39" s="27" t="s">
        <v>45</v>
      </c>
      <c r="K39" s="27" t="s">
        <v>692</v>
      </c>
      <c r="L39" s="27" t="s">
        <v>23</v>
      </c>
      <c r="M39" s="27" t="s">
        <v>192</v>
      </c>
      <c r="N39" s="27" t="s">
        <v>643</v>
      </c>
      <c r="O39" s="35" t="s">
        <v>740</v>
      </c>
      <c r="P39" s="27" t="s">
        <v>741</v>
      </c>
      <c r="Q39" s="27" t="s">
        <v>742</v>
      </c>
      <c r="R39" s="27" t="s">
        <v>743</v>
      </c>
      <c r="S39" s="33">
        <v>43905.0</v>
      </c>
      <c r="T39" s="27" t="s">
        <v>495</v>
      </c>
      <c r="U39" s="27" t="s">
        <v>65</v>
      </c>
      <c r="V39" s="27" t="s">
        <v>461</v>
      </c>
      <c r="W39" s="27" t="s">
        <v>505</v>
      </c>
      <c r="X39" s="27" t="s">
        <v>463</v>
      </c>
      <c r="Y39" s="36">
        <v>33.26</v>
      </c>
      <c r="Z39" s="27" t="s">
        <v>419</v>
      </c>
      <c r="AA39" s="27" t="s">
        <v>534</v>
      </c>
      <c r="AB39" s="27" t="s">
        <v>72</v>
      </c>
      <c r="AC39" s="27" t="s">
        <v>151</v>
      </c>
      <c r="AD39" s="26">
        <v>6.0</v>
      </c>
      <c r="AE39" s="26">
        <v>6.0</v>
      </c>
    </row>
    <row r="40" ht="15.75" customHeight="1">
      <c r="A40" s="25" t="s">
        <v>744</v>
      </c>
      <c r="B40" s="25" t="s">
        <v>644</v>
      </c>
      <c r="C40" s="25" t="s">
        <v>546</v>
      </c>
      <c r="D40" s="25" t="s">
        <v>745</v>
      </c>
      <c r="E40" s="25" t="s">
        <v>424</v>
      </c>
      <c r="F40" s="30">
        <v>33337.0</v>
      </c>
      <c r="G40" s="25" t="s">
        <v>409</v>
      </c>
      <c r="H40" s="31">
        <v>8.0</v>
      </c>
      <c r="I40" s="25" t="s">
        <v>45</v>
      </c>
      <c r="J40" s="25" t="s">
        <v>45</v>
      </c>
      <c r="K40" s="25" t="s">
        <v>692</v>
      </c>
      <c r="L40" s="25" t="s">
        <v>19</v>
      </c>
      <c r="M40" s="25" t="s">
        <v>196</v>
      </c>
      <c r="N40" s="25" t="s">
        <v>658</v>
      </c>
      <c r="O40" s="28" t="s">
        <v>746</v>
      </c>
      <c r="P40" s="25" t="s">
        <v>747</v>
      </c>
      <c r="Q40" s="25" t="s">
        <v>748</v>
      </c>
      <c r="R40" s="25" t="s">
        <v>749</v>
      </c>
      <c r="S40" s="30">
        <v>44230.0</v>
      </c>
      <c r="T40" s="25" t="s">
        <v>415</v>
      </c>
      <c r="U40" s="25" t="s">
        <v>65</v>
      </c>
      <c r="V40" s="25" t="s">
        <v>612</v>
      </c>
      <c r="W40" s="25" t="s">
        <v>485</v>
      </c>
      <c r="X40" s="25" t="s">
        <v>418</v>
      </c>
      <c r="Y40" s="32">
        <v>26.76</v>
      </c>
      <c r="Z40" s="25" t="s">
        <v>419</v>
      </c>
      <c r="AA40" s="25" t="s">
        <v>534</v>
      </c>
      <c r="AB40" s="25" t="s">
        <v>74</v>
      </c>
      <c r="AC40" s="25" t="s">
        <v>149</v>
      </c>
      <c r="AD40" s="24">
        <v>4.0</v>
      </c>
      <c r="AE40" s="24">
        <v>7.0</v>
      </c>
    </row>
    <row r="41" ht="15.75" customHeight="1">
      <c r="A41" s="27" t="s">
        <v>750</v>
      </c>
      <c r="B41" s="27" t="s">
        <v>751</v>
      </c>
      <c r="C41" s="27" t="s">
        <v>645</v>
      </c>
      <c r="D41" s="27" t="s">
        <v>752</v>
      </c>
      <c r="E41" s="27" t="s">
        <v>424</v>
      </c>
      <c r="F41" s="33">
        <v>31657.0</v>
      </c>
      <c r="G41" s="27" t="s">
        <v>409</v>
      </c>
      <c r="H41" s="34">
        <v>8.0</v>
      </c>
      <c r="I41" s="27" t="s">
        <v>45</v>
      </c>
      <c r="J41" s="27" t="s">
        <v>45</v>
      </c>
      <c r="K41" s="27" t="s">
        <v>692</v>
      </c>
      <c r="L41" s="27" t="s">
        <v>31</v>
      </c>
      <c r="M41" s="27" t="s">
        <v>205</v>
      </c>
      <c r="N41" s="27" t="s">
        <v>597</v>
      </c>
      <c r="O41" s="35" t="s">
        <v>753</v>
      </c>
      <c r="P41" s="27" t="s">
        <v>754</v>
      </c>
      <c r="Q41" s="27" t="s">
        <v>755</v>
      </c>
      <c r="R41" s="27" t="s">
        <v>756</v>
      </c>
      <c r="S41" s="33">
        <v>44876.0</v>
      </c>
      <c r="T41" s="27" t="s">
        <v>415</v>
      </c>
      <c r="U41" s="27" t="s">
        <v>65</v>
      </c>
      <c r="V41" s="27" t="s">
        <v>560</v>
      </c>
      <c r="W41" s="27" t="s">
        <v>580</v>
      </c>
      <c r="X41" s="27" t="s">
        <v>543</v>
      </c>
      <c r="Y41" s="36">
        <v>29.25</v>
      </c>
      <c r="Z41" s="27" t="s">
        <v>419</v>
      </c>
      <c r="AA41" s="27" t="s">
        <v>534</v>
      </c>
      <c r="AB41" s="27" t="s">
        <v>72</v>
      </c>
      <c r="AC41" s="27" t="s">
        <v>157</v>
      </c>
      <c r="AD41" s="26">
        <v>3.0</v>
      </c>
      <c r="AE41" s="26">
        <v>8.0</v>
      </c>
    </row>
    <row r="42" ht="15.75" customHeight="1">
      <c r="A42" s="25" t="s">
        <v>757</v>
      </c>
      <c r="B42" s="25" t="s">
        <v>598</v>
      </c>
      <c r="C42" s="25" t="s">
        <v>758</v>
      </c>
      <c r="D42" s="25" t="s">
        <v>759</v>
      </c>
      <c r="E42" s="25" t="s">
        <v>424</v>
      </c>
      <c r="F42" s="30">
        <v>32350.0</v>
      </c>
      <c r="G42" s="25" t="s">
        <v>409</v>
      </c>
      <c r="H42" s="31">
        <v>8.0</v>
      </c>
      <c r="I42" s="25" t="s">
        <v>45</v>
      </c>
      <c r="J42" s="25" t="s">
        <v>45</v>
      </c>
      <c r="K42" s="25" t="s">
        <v>692</v>
      </c>
      <c r="L42" s="25" t="s">
        <v>55</v>
      </c>
      <c r="M42" s="25" t="s">
        <v>220</v>
      </c>
      <c r="N42" s="25" t="s">
        <v>675</v>
      </c>
      <c r="O42" s="28" t="s">
        <v>760</v>
      </c>
      <c r="P42" s="25" t="s">
        <v>761</v>
      </c>
      <c r="Q42" s="25" t="s">
        <v>762</v>
      </c>
      <c r="R42" s="25" t="s">
        <v>763</v>
      </c>
      <c r="S42" s="30">
        <v>44067.0</v>
      </c>
      <c r="T42" s="25" t="s">
        <v>415</v>
      </c>
      <c r="U42" s="25" t="s">
        <v>65</v>
      </c>
      <c r="V42" s="25" t="s">
        <v>612</v>
      </c>
      <c r="W42" s="25" t="s">
        <v>697</v>
      </c>
      <c r="X42" s="25" t="s">
        <v>432</v>
      </c>
      <c r="Y42" s="32">
        <v>25.15</v>
      </c>
      <c r="Z42" s="25" t="s">
        <v>419</v>
      </c>
      <c r="AA42" s="25" t="s">
        <v>534</v>
      </c>
      <c r="AB42" s="25" t="s">
        <v>72</v>
      </c>
      <c r="AC42" s="25" t="s">
        <v>169</v>
      </c>
      <c r="AD42" s="24">
        <v>6.0</v>
      </c>
      <c r="AE42" s="24">
        <v>9.0</v>
      </c>
    </row>
    <row r="43" ht="15.75" customHeight="1">
      <c r="A43" s="27" t="s">
        <v>764</v>
      </c>
      <c r="B43" s="27" t="s">
        <v>765</v>
      </c>
      <c r="C43" s="27" t="s">
        <v>714</v>
      </c>
      <c r="D43" s="27" t="s">
        <v>766</v>
      </c>
      <c r="E43" s="27" t="s">
        <v>424</v>
      </c>
      <c r="F43" s="33">
        <v>32728.0</v>
      </c>
      <c r="G43" s="27" t="s">
        <v>409</v>
      </c>
      <c r="H43" s="34">
        <v>8.0</v>
      </c>
      <c r="I43" s="27" t="s">
        <v>45</v>
      </c>
      <c r="J43" s="27" t="s">
        <v>45</v>
      </c>
      <c r="K43" s="27" t="s">
        <v>692</v>
      </c>
      <c r="L43" s="27" t="s">
        <v>23</v>
      </c>
      <c r="M43" s="27" t="s">
        <v>196</v>
      </c>
      <c r="N43" s="27" t="s">
        <v>628</v>
      </c>
      <c r="O43" s="35" t="s">
        <v>767</v>
      </c>
      <c r="P43" s="27" t="s">
        <v>768</v>
      </c>
      <c r="Q43" s="27" t="s">
        <v>769</v>
      </c>
      <c r="R43" s="27" t="s">
        <v>770</v>
      </c>
      <c r="S43" s="33">
        <v>45091.0</v>
      </c>
      <c r="T43" s="27" t="s">
        <v>415</v>
      </c>
      <c r="U43" s="27" t="s">
        <v>65</v>
      </c>
      <c r="V43" s="27" t="s">
        <v>560</v>
      </c>
      <c r="W43" s="27" t="s">
        <v>522</v>
      </c>
      <c r="X43" s="27" t="s">
        <v>619</v>
      </c>
      <c r="Y43" s="36">
        <v>22.66</v>
      </c>
      <c r="Z43" s="27" t="s">
        <v>419</v>
      </c>
      <c r="AA43" s="27" t="s">
        <v>534</v>
      </c>
      <c r="AB43" s="27" t="s">
        <v>72</v>
      </c>
      <c r="AC43" s="27" t="s">
        <v>151</v>
      </c>
      <c r="AD43" s="26">
        <v>2.0</v>
      </c>
      <c r="AE43" s="26">
        <v>9.0</v>
      </c>
    </row>
    <row r="44" ht="15.75" customHeight="1">
      <c r="A44" s="25" t="s">
        <v>771</v>
      </c>
      <c r="B44" s="25" t="s">
        <v>772</v>
      </c>
      <c r="C44" s="25" t="s">
        <v>773</v>
      </c>
      <c r="D44" s="25" t="s">
        <v>774</v>
      </c>
      <c r="E44" s="25" t="s">
        <v>408</v>
      </c>
      <c r="F44" s="30">
        <v>32894.0</v>
      </c>
      <c r="G44" s="25" t="s">
        <v>409</v>
      </c>
      <c r="H44" s="31">
        <v>8.0</v>
      </c>
      <c r="I44" s="25" t="s">
        <v>45</v>
      </c>
      <c r="J44" s="25" t="s">
        <v>45</v>
      </c>
      <c r="K44" s="25" t="s">
        <v>692</v>
      </c>
      <c r="L44" s="25" t="s">
        <v>35</v>
      </c>
      <c r="M44" s="25" t="s">
        <v>196</v>
      </c>
      <c r="N44" s="25" t="s">
        <v>628</v>
      </c>
      <c r="O44" s="28" t="s">
        <v>775</v>
      </c>
      <c r="P44" s="25" t="s">
        <v>776</v>
      </c>
      <c r="Q44" s="25" t="s">
        <v>777</v>
      </c>
      <c r="R44" s="25" t="s">
        <v>778</v>
      </c>
      <c r="S44" s="30">
        <v>43976.0</v>
      </c>
      <c r="T44" s="25" t="s">
        <v>415</v>
      </c>
      <c r="U44" s="25" t="s">
        <v>65</v>
      </c>
      <c r="V44" s="25" t="s">
        <v>570</v>
      </c>
      <c r="W44" s="25" t="s">
        <v>681</v>
      </c>
      <c r="X44" s="25" t="s">
        <v>561</v>
      </c>
      <c r="Y44" s="32">
        <v>37.86</v>
      </c>
      <c r="Z44" s="25" t="s">
        <v>419</v>
      </c>
      <c r="AA44" s="25" t="s">
        <v>534</v>
      </c>
      <c r="AB44" s="25" t="s">
        <v>72</v>
      </c>
      <c r="AC44" s="25" t="s">
        <v>160</v>
      </c>
      <c r="AD44" s="24">
        <v>6.0</v>
      </c>
      <c r="AE44" s="24">
        <v>6.0</v>
      </c>
    </row>
    <row r="45" ht="15.75" customHeight="1">
      <c r="A45" s="27" t="s">
        <v>779</v>
      </c>
      <c r="B45" s="27" t="s">
        <v>780</v>
      </c>
      <c r="C45" s="27" t="s">
        <v>722</v>
      </c>
      <c r="D45" s="27" t="s">
        <v>781</v>
      </c>
      <c r="E45" s="27" t="s">
        <v>424</v>
      </c>
      <c r="F45" s="33">
        <v>34859.0</v>
      </c>
      <c r="G45" s="27" t="s">
        <v>409</v>
      </c>
      <c r="H45" s="34">
        <v>8.0</v>
      </c>
      <c r="I45" s="27" t="s">
        <v>45</v>
      </c>
      <c r="J45" s="27" t="s">
        <v>45</v>
      </c>
      <c r="K45" s="27" t="s">
        <v>692</v>
      </c>
      <c r="L45" s="27" t="s">
        <v>55</v>
      </c>
      <c r="M45" s="27" t="s">
        <v>196</v>
      </c>
      <c r="N45" s="27" t="s">
        <v>613</v>
      </c>
      <c r="O45" s="35" t="s">
        <v>782</v>
      </c>
      <c r="P45" s="27" t="s">
        <v>783</v>
      </c>
      <c r="Q45" s="27" t="s">
        <v>784</v>
      </c>
      <c r="R45" s="27" t="s">
        <v>785</v>
      </c>
      <c r="S45" s="33">
        <v>45399.0</v>
      </c>
      <c r="T45" s="27" t="s">
        <v>415</v>
      </c>
      <c r="U45" s="27" t="s">
        <v>65</v>
      </c>
      <c r="V45" s="27" t="s">
        <v>570</v>
      </c>
      <c r="W45" s="27" t="s">
        <v>431</v>
      </c>
      <c r="X45" s="27" t="s">
        <v>418</v>
      </c>
      <c r="Y45" s="36">
        <v>26.92</v>
      </c>
      <c r="Z45" s="27" t="s">
        <v>419</v>
      </c>
      <c r="AA45" s="27" t="s">
        <v>534</v>
      </c>
      <c r="AB45" s="27" t="s">
        <v>76</v>
      </c>
      <c r="AC45" s="27" t="s">
        <v>169</v>
      </c>
      <c r="AD45" s="26">
        <v>2.0</v>
      </c>
      <c r="AE45" s="26">
        <v>7.0</v>
      </c>
    </row>
    <row r="46" ht="15.75" customHeight="1">
      <c r="A46" s="25" t="s">
        <v>786</v>
      </c>
      <c r="B46" s="25" t="s">
        <v>787</v>
      </c>
      <c r="C46" s="25" t="s">
        <v>788</v>
      </c>
      <c r="D46" s="25" t="s">
        <v>789</v>
      </c>
      <c r="E46" s="25" t="s">
        <v>408</v>
      </c>
      <c r="F46" s="30">
        <v>32805.0</v>
      </c>
      <c r="G46" s="25" t="s">
        <v>409</v>
      </c>
      <c r="H46" s="31">
        <v>8.0</v>
      </c>
      <c r="I46" s="25" t="s">
        <v>45</v>
      </c>
      <c r="J46" s="25" t="s">
        <v>45</v>
      </c>
      <c r="K46" s="25" t="s">
        <v>692</v>
      </c>
      <c r="L46" s="25" t="s">
        <v>47</v>
      </c>
      <c r="M46" s="25" t="s">
        <v>183</v>
      </c>
      <c r="N46" s="25" t="s">
        <v>597</v>
      </c>
      <c r="O46" s="28" t="s">
        <v>790</v>
      </c>
      <c r="P46" s="25" t="s">
        <v>791</v>
      </c>
      <c r="Q46" s="25" t="s">
        <v>792</v>
      </c>
      <c r="R46" s="25" t="s">
        <v>793</v>
      </c>
      <c r="S46" s="30">
        <v>43739.0</v>
      </c>
      <c r="T46" s="25" t="s">
        <v>415</v>
      </c>
      <c r="U46" s="25" t="s">
        <v>65</v>
      </c>
      <c r="V46" s="25" t="s">
        <v>560</v>
      </c>
      <c r="W46" s="25" t="s">
        <v>431</v>
      </c>
      <c r="X46" s="25" t="s">
        <v>619</v>
      </c>
      <c r="Y46" s="32">
        <v>37.57</v>
      </c>
      <c r="Z46" s="25" t="s">
        <v>419</v>
      </c>
      <c r="AA46" s="25" t="s">
        <v>534</v>
      </c>
      <c r="AB46" s="25" t="s">
        <v>72</v>
      </c>
      <c r="AC46" s="25" t="s">
        <v>165</v>
      </c>
      <c r="AD46" s="24">
        <v>6.0</v>
      </c>
      <c r="AE46" s="24">
        <v>8.0</v>
      </c>
    </row>
    <row r="47" ht="15.75" customHeight="1">
      <c r="A47" s="27" t="s">
        <v>794</v>
      </c>
      <c r="B47" s="27" t="s">
        <v>795</v>
      </c>
      <c r="C47" s="27" t="s">
        <v>554</v>
      </c>
      <c r="D47" s="27" t="s">
        <v>796</v>
      </c>
      <c r="E47" s="27" t="s">
        <v>408</v>
      </c>
      <c r="F47" s="33">
        <v>32981.0</v>
      </c>
      <c r="G47" s="27" t="s">
        <v>99</v>
      </c>
      <c r="H47" s="34">
        <v>8.0</v>
      </c>
      <c r="I47" s="27" t="s">
        <v>45</v>
      </c>
      <c r="J47" s="27" t="s">
        <v>45</v>
      </c>
      <c r="K47" s="27" t="s">
        <v>692</v>
      </c>
      <c r="L47" s="27" t="s">
        <v>19</v>
      </c>
      <c r="M47" s="27" t="s">
        <v>196</v>
      </c>
      <c r="N47" s="27" t="s">
        <v>643</v>
      </c>
      <c r="O47" s="35" t="s">
        <v>797</v>
      </c>
      <c r="P47" s="27" t="s">
        <v>798</v>
      </c>
      <c r="Q47" s="27" t="s">
        <v>799</v>
      </c>
      <c r="R47" s="27" t="s">
        <v>800</v>
      </c>
      <c r="S47" s="33">
        <v>44982.0</v>
      </c>
      <c r="T47" s="27" t="s">
        <v>495</v>
      </c>
      <c r="U47" s="27" t="s">
        <v>65</v>
      </c>
      <c r="V47" s="27" t="s">
        <v>612</v>
      </c>
      <c r="W47" s="27" t="s">
        <v>452</v>
      </c>
      <c r="X47" s="27" t="s">
        <v>432</v>
      </c>
      <c r="Y47" s="36">
        <v>36.26</v>
      </c>
      <c r="Z47" s="27" t="s">
        <v>419</v>
      </c>
      <c r="AA47" s="27" t="s">
        <v>534</v>
      </c>
      <c r="AB47" s="27" t="s">
        <v>74</v>
      </c>
      <c r="AC47" s="27" t="s">
        <v>149</v>
      </c>
      <c r="AD47" s="26">
        <v>3.0</v>
      </c>
      <c r="AE47" s="26">
        <v>9.0</v>
      </c>
    </row>
    <row r="48" ht="15.75" customHeight="1">
      <c r="A48" s="25" t="s">
        <v>801</v>
      </c>
      <c r="B48" s="25" t="s">
        <v>606</v>
      </c>
      <c r="C48" s="25" t="s">
        <v>445</v>
      </c>
      <c r="D48" s="25" t="s">
        <v>802</v>
      </c>
      <c r="E48" s="25" t="s">
        <v>408</v>
      </c>
      <c r="F48" s="30">
        <v>32205.0</v>
      </c>
      <c r="G48" s="25" t="s">
        <v>409</v>
      </c>
      <c r="H48" s="31">
        <v>9.0</v>
      </c>
      <c r="I48" s="25" t="s">
        <v>131</v>
      </c>
      <c r="J48" s="25" t="s">
        <v>49</v>
      </c>
      <c r="K48" s="25" t="s">
        <v>803</v>
      </c>
      <c r="L48" s="25" t="s">
        <v>23</v>
      </c>
      <c r="M48" s="25" t="s">
        <v>196</v>
      </c>
      <c r="N48" s="25" t="s">
        <v>786</v>
      </c>
      <c r="O48" s="28" t="s">
        <v>804</v>
      </c>
      <c r="P48" s="25" t="s">
        <v>805</v>
      </c>
      <c r="Q48" s="25" t="s">
        <v>806</v>
      </c>
      <c r="R48" s="25" t="s">
        <v>807</v>
      </c>
      <c r="S48" s="30">
        <v>44344.0</v>
      </c>
      <c r="T48" s="25" t="s">
        <v>415</v>
      </c>
      <c r="U48" s="25" t="s">
        <v>65</v>
      </c>
      <c r="V48" s="25" t="s">
        <v>570</v>
      </c>
      <c r="W48" s="25" t="s">
        <v>431</v>
      </c>
      <c r="X48" s="25" t="s">
        <v>486</v>
      </c>
      <c r="Y48" s="32">
        <v>23.1</v>
      </c>
      <c r="Z48" s="25" t="s">
        <v>419</v>
      </c>
      <c r="AA48" s="25" t="s">
        <v>534</v>
      </c>
      <c r="AB48" s="25" t="s">
        <v>72</v>
      </c>
      <c r="AC48" s="25" t="s">
        <v>151</v>
      </c>
      <c r="AD48" s="24">
        <v>4.0</v>
      </c>
      <c r="AE48" s="24">
        <v>7.0</v>
      </c>
    </row>
    <row r="49" ht="15.75" customHeight="1">
      <c r="A49" s="27" t="s">
        <v>808</v>
      </c>
      <c r="B49" s="27" t="s">
        <v>809</v>
      </c>
      <c r="C49" s="27" t="s">
        <v>645</v>
      </c>
      <c r="D49" s="27" t="s">
        <v>810</v>
      </c>
      <c r="E49" s="27" t="s">
        <v>408</v>
      </c>
      <c r="F49" s="33">
        <v>33104.0</v>
      </c>
      <c r="G49" s="27" t="s">
        <v>409</v>
      </c>
      <c r="H49" s="34">
        <v>9.0</v>
      </c>
      <c r="I49" s="27" t="s">
        <v>131</v>
      </c>
      <c r="J49" s="27" t="s">
        <v>49</v>
      </c>
      <c r="K49" s="27" t="s">
        <v>803</v>
      </c>
      <c r="L49" s="27" t="s">
        <v>51</v>
      </c>
      <c r="M49" s="27" t="s">
        <v>220</v>
      </c>
      <c r="N49" s="27" t="s">
        <v>744</v>
      </c>
      <c r="O49" s="35" t="s">
        <v>811</v>
      </c>
      <c r="P49" s="27" t="s">
        <v>812</v>
      </c>
      <c r="Q49" s="27" t="s">
        <v>813</v>
      </c>
      <c r="R49" s="27" t="s">
        <v>814</v>
      </c>
      <c r="S49" s="33">
        <v>44897.0</v>
      </c>
      <c r="T49" s="27" t="s">
        <v>415</v>
      </c>
      <c r="U49" s="27" t="s">
        <v>75</v>
      </c>
      <c r="V49" s="27" t="s">
        <v>612</v>
      </c>
      <c r="W49" s="27" t="s">
        <v>452</v>
      </c>
      <c r="X49" s="27" t="s">
        <v>474</v>
      </c>
      <c r="Y49" s="36">
        <v>24.15</v>
      </c>
      <c r="Z49" s="27" t="s">
        <v>419</v>
      </c>
      <c r="AA49" s="27" t="s">
        <v>534</v>
      </c>
      <c r="AB49" s="27" t="s">
        <v>72</v>
      </c>
      <c r="AC49" s="27" t="s">
        <v>168</v>
      </c>
      <c r="AD49" s="26">
        <v>4.0</v>
      </c>
      <c r="AE49" s="26">
        <v>6.0</v>
      </c>
    </row>
    <row r="50" ht="15.75" customHeight="1">
      <c r="A50" s="25" t="s">
        <v>815</v>
      </c>
      <c r="B50" s="25" t="s">
        <v>498</v>
      </c>
      <c r="C50" s="25" t="s">
        <v>816</v>
      </c>
      <c r="D50" s="25" t="s">
        <v>817</v>
      </c>
      <c r="E50" s="25" t="s">
        <v>424</v>
      </c>
      <c r="F50" s="30">
        <v>32739.0</v>
      </c>
      <c r="G50" s="25" t="s">
        <v>468</v>
      </c>
      <c r="H50" s="31">
        <v>9.0</v>
      </c>
      <c r="I50" s="25" t="s">
        <v>131</v>
      </c>
      <c r="J50" s="25" t="s">
        <v>49</v>
      </c>
      <c r="K50" s="25" t="s">
        <v>803</v>
      </c>
      <c r="L50" s="25" t="s">
        <v>23</v>
      </c>
      <c r="M50" s="25" t="s">
        <v>196</v>
      </c>
      <c r="N50" s="25" t="s">
        <v>750</v>
      </c>
      <c r="O50" s="28" t="s">
        <v>818</v>
      </c>
      <c r="P50" s="25" t="s">
        <v>819</v>
      </c>
      <c r="Q50" s="25" t="s">
        <v>820</v>
      </c>
      <c r="R50" s="25" t="s">
        <v>821</v>
      </c>
      <c r="S50" s="30">
        <v>45470.0</v>
      </c>
      <c r="T50" s="25" t="s">
        <v>415</v>
      </c>
      <c r="U50" s="25" t="s">
        <v>65</v>
      </c>
      <c r="V50" s="25" t="s">
        <v>570</v>
      </c>
      <c r="W50" s="25" t="s">
        <v>442</v>
      </c>
      <c r="X50" s="25" t="s">
        <v>619</v>
      </c>
      <c r="Y50" s="32">
        <v>23.06</v>
      </c>
      <c r="Z50" s="25" t="s">
        <v>419</v>
      </c>
      <c r="AA50" s="25" t="s">
        <v>534</v>
      </c>
      <c r="AB50" s="25" t="s">
        <v>72</v>
      </c>
      <c r="AC50" s="25" t="s">
        <v>151</v>
      </c>
      <c r="AD50" s="24">
        <v>2.0</v>
      </c>
      <c r="AE50" s="24">
        <v>6.0</v>
      </c>
    </row>
    <row r="51" ht="15.75" customHeight="1">
      <c r="A51" s="27" t="s">
        <v>822</v>
      </c>
      <c r="B51" s="27" t="s">
        <v>823</v>
      </c>
      <c r="C51" s="27" t="s">
        <v>824</v>
      </c>
      <c r="D51" s="27" t="s">
        <v>825</v>
      </c>
      <c r="E51" s="27" t="s">
        <v>408</v>
      </c>
      <c r="F51" s="33">
        <v>34918.0</v>
      </c>
      <c r="G51" s="27" t="s">
        <v>409</v>
      </c>
      <c r="H51" s="34">
        <v>9.0</v>
      </c>
      <c r="I51" s="27" t="s">
        <v>131</v>
      </c>
      <c r="J51" s="27" t="s">
        <v>49</v>
      </c>
      <c r="K51" s="27" t="s">
        <v>803</v>
      </c>
      <c r="L51" s="27" t="s">
        <v>19</v>
      </c>
      <c r="M51" s="27" t="s">
        <v>215</v>
      </c>
      <c r="N51" s="27" t="s">
        <v>771</v>
      </c>
      <c r="O51" s="35" t="s">
        <v>826</v>
      </c>
      <c r="P51" s="27" t="s">
        <v>827</v>
      </c>
      <c r="Q51" s="27" t="s">
        <v>828</v>
      </c>
      <c r="R51" s="27" t="s">
        <v>829</v>
      </c>
      <c r="S51" s="33">
        <v>44358.0</v>
      </c>
      <c r="T51" s="27" t="s">
        <v>415</v>
      </c>
      <c r="U51" s="27" t="s">
        <v>73</v>
      </c>
      <c r="V51" s="27" t="s">
        <v>461</v>
      </c>
      <c r="W51" s="27" t="s">
        <v>674</v>
      </c>
      <c r="X51" s="27" t="s">
        <v>561</v>
      </c>
      <c r="Y51" s="36">
        <v>20.94</v>
      </c>
      <c r="Z51" s="27" t="s">
        <v>419</v>
      </c>
      <c r="AA51" s="27" t="s">
        <v>534</v>
      </c>
      <c r="AB51" s="27" t="s">
        <v>72</v>
      </c>
      <c r="AC51" s="27" t="s">
        <v>149</v>
      </c>
      <c r="AD51" s="26">
        <v>4.0</v>
      </c>
      <c r="AE51" s="26">
        <v>6.0</v>
      </c>
    </row>
    <row r="52" ht="15.75" customHeight="1">
      <c r="A52" s="25" t="s">
        <v>830</v>
      </c>
      <c r="B52" s="25" t="s">
        <v>831</v>
      </c>
      <c r="C52" s="25" t="s">
        <v>406</v>
      </c>
      <c r="D52" s="25" t="s">
        <v>832</v>
      </c>
      <c r="E52" s="25" t="s">
        <v>408</v>
      </c>
      <c r="F52" s="30">
        <v>32176.0</v>
      </c>
      <c r="G52" s="25" t="s">
        <v>575</v>
      </c>
      <c r="H52" s="31">
        <v>9.0</v>
      </c>
      <c r="I52" s="25" t="s">
        <v>131</v>
      </c>
      <c r="J52" s="25" t="s">
        <v>49</v>
      </c>
      <c r="K52" s="25" t="s">
        <v>803</v>
      </c>
      <c r="L52" s="25" t="s">
        <v>43</v>
      </c>
      <c r="M52" s="25" t="s">
        <v>220</v>
      </c>
      <c r="N52" s="25" t="s">
        <v>750</v>
      </c>
      <c r="O52" s="28" t="s">
        <v>833</v>
      </c>
      <c r="P52" s="25" t="s">
        <v>834</v>
      </c>
      <c r="Q52" s="25" t="s">
        <v>835</v>
      </c>
      <c r="R52" s="25" t="s">
        <v>836</v>
      </c>
      <c r="S52" s="30">
        <v>44899.0</v>
      </c>
      <c r="T52" s="25" t="s">
        <v>415</v>
      </c>
      <c r="U52" s="25" t="s">
        <v>65</v>
      </c>
      <c r="V52" s="25" t="s">
        <v>461</v>
      </c>
      <c r="W52" s="25" t="s">
        <v>442</v>
      </c>
      <c r="X52" s="25" t="s">
        <v>463</v>
      </c>
      <c r="Y52" s="32">
        <v>25.08</v>
      </c>
      <c r="Z52" s="25" t="s">
        <v>419</v>
      </c>
      <c r="AA52" s="25" t="s">
        <v>534</v>
      </c>
      <c r="AB52" s="25" t="s">
        <v>72</v>
      </c>
      <c r="AC52" s="25" t="s">
        <v>164</v>
      </c>
      <c r="AD52" s="24">
        <v>4.0</v>
      </c>
      <c r="AE52" s="24">
        <v>4.0</v>
      </c>
    </row>
    <row r="53" ht="15.75" customHeight="1">
      <c r="A53" s="27" t="s">
        <v>837</v>
      </c>
      <c r="B53" s="27" t="s">
        <v>683</v>
      </c>
      <c r="C53" s="27" t="s">
        <v>499</v>
      </c>
      <c r="D53" s="27" t="s">
        <v>838</v>
      </c>
      <c r="E53" s="27" t="s">
        <v>408</v>
      </c>
      <c r="F53" s="33">
        <v>32279.0</v>
      </c>
      <c r="G53" s="27" t="s">
        <v>409</v>
      </c>
      <c r="H53" s="34">
        <v>9.0</v>
      </c>
      <c r="I53" s="27" t="s">
        <v>131</v>
      </c>
      <c r="J53" s="27" t="s">
        <v>49</v>
      </c>
      <c r="K53" s="27" t="s">
        <v>803</v>
      </c>
      <c r="L53" s="27" t="s">
        <v>39</v>
      </c>
      <c r="M53" s="27" t="s">
        <v>177</v>
      </c>
      <c r="N53" s="27" t="s">
        <v>712</v>
      </c>
      <c r="O53" s="35" t="s">
        <v>839</v>
      </c>
      <c r="P53" s="27" t="s">
        <v>840</v>
      </c>
      <c r="Q53" s="27" t="s">
        <v>841</v>
      </c>
      <c r="R53" s="27" t="s">
        <v>842</v>
      </c>
      <c r="S53" s="33">
        <v>44570.0</v>
      </c>
      <c r="T53" s="27" t="s">
        <v>415</v>
      </c>
      <c r="U53" s="27" t="s">
        <v>65</v>
      </c>
      <c r="V53" s="27" t="s">
        <v>560</v>
      </c>
      <c r="W53" s="27" t="s">
        <v>681</v>
      </c>
      <c r="X53" s="27" t="s">
        <v>561</v>
      </c>
      <c r="Y53" s="36">
        <v>25.22</v>
      </c>
      <c r="Z53" s="27" t="s">
        <v>419</v>
      </c>
      <c r="AA53" s="27" t="s">
        <v>534</v>
      </c>
      <c r="AB53" s="27" t="s">
        <v>76</v>
      </c>
      <c r="AC53" s="27" t="s">
        <v>163</v>
      </c>
      <c r="AD53" s="26">
        <v>4.0</v>
      </c>
      <c r="AE53" s="26">
        <v>7.0</v>
      </c>
    </row>
    <row r="54" ht="15.75" customHeight="1">
      <c r="A54" s="25" t="s">
        <v>843</v>
      </c>
      <c r="B54" s="25" t="s">
        <v>730</v>
      </c>
      <c r="C54" s="25" t="s">
        <v>564</v>
      </c>
      <c r="D54" s="25" t="s">
        <v>844</v>
      </c>
      <c r="E54" s="25" t="s">
        <v>424</v>
      </c>
      <c r="F54" s="30">
        <v>34061.0</v>
      </c>
      <c r="G54" s="25" t="s">
        <v>669</v>
      </c>
      <c r="H54" s="31">
        <v>9.0</v>
      </c>
      <c r="I54" s="25" t="s">
        <v>131</v>
      </c>
      <c r="J54" s="25" t="s">
        <v>49</v>
      </c>
      <c r="K54" s="25" t="s">
        <v>803</v>
      </c>
      <c r="L54" s="25" t="s">
        <v>43</v>
      </c>
      <c r="M54" s="25" t="s">
        <v>183</v>
      </c>
      <c r="N54" s="25" t="s">
        <v>698</v>
      </c>
      <c r="O54" s="28" t="s">
        <v>845</v>
      </c>
      <c r="P54" s="25" t="s">
        <v>846</v>
      </c>
      <c r="Q54" s="25" t="s">
        <v>847</v>
      </c>
      <c r="R54" s="25" t="s">
        <v>848</v>
      </c>
      <c r="S54" s="30">
        <v>45071.0</v>
      </c>
      <c r="T54" s="25" t="s">
        <v>415</v>
      </c>
      <c r="U54" s="25" t="s">
        <v>75</v>
      </c>
      <c r="V54" s="25" t="s">
        <v>612</v>
      </c>
      <c r="W54" s="25" t="s">
        <v>473</v>
      </c>
      <c r="X54" s="25" t="s">
        <v>486</v>
      </c>
      <c r="Y54" s="32">
        <v>25.46</v>
      </c>
      <c r="Z54" s="25" t="s">
        <v>419</v>
      </c>
      <c r="AA54" s="25" t="s">
        <v>534</v>
      </c>
      <c r="AB54" s="25" t="s">
        <v>72</v>
      </c>
      <c r="AC54" s="25" t="s">
        <v>164</v>
      </c>
      <c r="AD54" s="24">
        <v>2.0</v>
      </c>
      <c r="AE54" s="24">
        <v>6.0</v>
      </c>
    </row>
    <row r="55" ht="15.75" customHeight="1">
      <c r="A55" s="27" t="s">
        <v>849</v>
      </c>
      <c r="B55" s="27" t="s">
        <v>498</v>
      </c>
      <c r="C55" s="27" t="s">
        <v>477</v>
      </c>
      <c r="D55" s="27" t="s">
        <v>850</v>
      </c>
      <c r="E55" s="27" t="s">
        <v>424</v>
      </c>
      <c r="F55" s="33">
        <v>34907.0</v>
      </c>
      <c r="G55" s="27" t="s">
        <v>409</v>
      </c>
      <c r="H55" s="34">
        <v>9.0</v>
      </c>
      <c r="I55" s="27" t="s">
        <v>131</v>
      </c>
      <c r="J55" s="27" t="s">
        <v>49</v>
      </c>
      <c r="K55" s="27" t="s">
        <v>803</v>
      </c>
      <c r="L55" s="27" t="s">
        <v>19</v>
      </c>
      <c r="M55" s="27" t="s">
        <v>210</v>
      </c>
      <c r="N55" s="27" t="s">
        <v>744</v>
      </c>
      <c r="O55" s="35" t="s">
        <v>851</v>
      </c>
      <c r="P55" s="27" t="s">
        <v>852</v>
      </c>
      <c r="Q55" s="27" t="s">
        <v>853</v>
      </c>
      <c r="R55" s="27" t="s">
        <v>854</v>
      </c>
      <c r="S55" s="33">
        <v>45409.0</v>
      </c>
      <c r="T55" s="27" t="s">
        <v>415</v>
      </c>
      <c r="U55" s="27" t="s">
        <v>65</v>
      </c>
      <c r="V55" s="27" t="s">
        <v>461</v>
      </c>
      <c r="W55" s="27" t="s">
        <v>462</v>
      </c>
      <c r="X55" s="27" t="s">
        <v>474</v>
      </c>
      <c r="Y55" s="36">
        <v>23.26</v>
      </c>
      <c r="Z55" s="27" t="s">
        <v>419</v>
      </c>
      <c r="AA55" s="27" t="s">
        <v>534</v>
      </c>
      <c r="AB55" s="27" t="s">
        <v>72</v>
      </c>
      <c r="AC55" s="27" t="s">
        <v>149</v>
      </c>
      <c r="AD55" s="26">
        <v>2.0</v>
      </c>
      <c r="AE55" s="26">
        <v>4.0</v>
      </c>
    </row>
    <row r="56" ht="15.75" customHeight="1">
      <c r="A56" s="25" t="s">
        <v>855</v>
      </c>
      <c r="B56" s="25" t="s">
        <v>856</v>
      </c>
      <c r="C56" s="25" t="s">
        <v>564</v>
      </c>
      <c r="D56" s="25" t="s">
        <v>857</v>
      </c>
      <c r="E56" s="25" t="s">
        <v>424</v>
      </c>
      <c r="F56" s="30">
        <v>32541.0</v>
      </c>
      <c r="G56" s="25" t="s">
        <v>409</v>
      </c>
      <c r="H56" s="31">
        <v>9.0</v>
      </c>
      <c r="I56" s="25" t="s">
        <v>131</v>
      </c>
      <c r="J56" s="25" t="s">
        <v>49</v>
      </c>
      <c r="K56" s="25" t="s">
        <v>803</v>
      </c>
      <c r="L56" s="25" t="s">
        <v>19</v>
      </c>
      <c r="M56" s="25" t="s">
        <v>188</v>
      </c>
      <c r="N56" s="25" t="s">
        <v>698</v>
      </c>
      <c r="O56" s="28" t="s">
        <v>858</v>
      </c>
      <c r="P56" s="25" t="s">
        <v>859</v>
      </c>
      <c r="Q56" s="25" t="s">
        <v>860</v>
      </c>
      <c r="R56" s="25" t="s">
        <v>861</v>
      </c>
      <c r="S56" s="30">
        <v>45477.0</v>
      </c>
      <c r="T56" s="25" t="s">
        <v>495</v>
      </c>
      <c r="U56" s="25" t="s">
        <v>65</v>
      </c>
      <c r="V56" s="25" t="s">
        <v>612</v>
      </c>
      <c r="W56" s="25" t="s">
        <v>417</v>
      </c>
      <c r="X56" s="25" t="s">
        <v>561</v>
      </c>
      <c r="Y56" s="32">
        <v>22.64</v>
      </c>
      <c r="Z56" s="25" t="s">
        <v>419</v>
      </c>
      <c r="AA56" s="25" t="s">
        <v>534</v>
      </c>
      <c r="AB56" s="25" t="s">
        <v>74</v>
      </c>
      <c r="AC56" s="25" t="s">
        <v>149</v>
      </c>
      <c r="AD56" s="24">
        <v>2.0</v>
      </c>
      <c r="AE56" s="24">
        <v>4.0</v>
      </c>
    </row>
    <row r="57" ht="15.75" customHeight="1">
      <c r="A57" s="27" t="s">
        <v>862</v>
      </c>
      <c r="B57" s="27" t="s">
        <v>507</v>
      </c>
      <c r="C57" s="27" t="s">
        <v>499</v>
      </c>
      <c r="D57" s="27" t="s">
        <v>863</v>
      </c>
      <c r="E57" s="27" t="s">
        <v>424</v>
      </c>
      <c r="F57" s="33">
        <v>33964.0</v>
      </c>
      <c r="G57" s="27" t="s">
        <v>409</v>
      </c>
      <c r="H57" s="34">
        <v>9.0</v>
      </c>
      <c r="I57" s="27" t="s">
        <v>131</v>
      </c>
      <c r="J57" s="27" t="s">
        <v>49</v>
      </c>
      <c r="K57" s="27" t="s">
        <v>803</v>
      </c>
      <c r="L57" s="27" t="s">
        <v>19</v>
      </c>
      <c r="M57" s="27" t="s">
        <v>196</v>
      </c>
      <c r="N57" s="27" t="s">
        <v>779</v>
      </c>
      <c r="O57" s="35" t="s">
        <v>864</v>
      </c>
      <c r="P57" s="27" t="s">
        <v>865</v>
      </c>
      <c r="Q57" s="27" t="s">
        <v>866</v>
      </c>
      <c r="R57" s="27" t="s">
        <v>867</v>
      </c>
      <c r="S57" s="33">
        <v>45298.0</v>
      </c>
      <c r="T57" s="27" t="s">
        <v>495</v>
      </c>
      <c r="U57" s="27" t="s">
        <v>65</v>
      </c>
      <c r="V57" s="27" t="s">
        <v>461</v>
      </c>
      <c r="W57" s="27" t="s">
        <v>522</v>
      </c>
      <c r="X57" s="27" t="s">
        <v>474</v>
      </c>
      <c r="Y57" s="36">
        <v>18.59</v>
      </c>
      <c r="Z57" s="27" t="s">
        <v>419</v>
      </c>
      <c r="AA57" s="27" t="s">
        <v>534</v>
      </c>
      <c r="AB57" s="27" t="s">
        <v>76</v>
      </c>
      <c r="AC57" s="27" t="s">
        <v>149</v>
      </c>
      <c r="AD57" s="26">
        <v>2.0</v>
      </c>
      <c r="AE57" s="26">
        <v>6.0</v>
      </c>
    </row>
    <row r="58" ht="15.75" customHeight="1">
      <c r="A58" s="25" t="s">
        <v>868</v>
      </c>
      <c r="B58" s="25" t="s">
        <v>869</v>
      </c>
      <c r="C58" s="25" t="s">
        <v>554</v>
      </c>
      <c r="D58" s="25" t="s">
        <v>870</v>
      </c>
      <c r="E58" s="25" t="s">
        <v>408</v>
      </c>
      <c r="F58" s="30">
        <v>32983.0</v>
      </c>
      <c r="G58" s="25" t="s">
        <v>527</v>
      </c>
      <c r="H58" s="31">
        <v>9.0</v>
      </c>
      <c r="I58" s="25" t="s">
        <v>131</v>
      </c>
      <c r="J58" s="25" t="s">
        <v>49</v>
      </c>
      <c r="K58" s="25" t="s">
        <v>803</v>
      </c>
      <c r="L58" s="25" t="s">
        <v>19</v>
      </c>
      <c r="M58" s="25" t="s">
        <v>183</v>
      </c>
      <c r="N58" s="25" t="s">
        <v>779</v>
      </c>
      <c r="O58" s="28" t="s">
        <v>871</v>
      </c>
      <c r="P58" s="25" t="s">
        <v>872</v>
      </c>
      <c r="Q58" s="25" t="s">
        <v>873</v>
      </c>
      <c r="R58" s="25" t="s">
        <v>874</v>
      </c>
      <c r="S58" s="30">
        <v>45494.0</v>
      </c>
      <c r="T58" s="25" t="s">
        <v>415</v>
      </c>
      <c r="U58" s="25" t="s">
        <v>65</v>
      </c>
      <c r="V58" s="25" t="s">
        <v>441</v>
      </c>
      <c r="W58" s="25" t="s">
        <v>681</v>
      </c>
      <c r="X58" s="25" t="s">
        <v>432</v>
      </c>
      <c r="Y58" s="32">
        <v>22.75</v>
      </c>
      <c r="Z58" s="25" t="s">
        <v>419</v>
      </c>
      <c r="AA58" s="25" t="s">
        <v>534</v>
      </c>
      <c r="AB58" s="25" t="s">
        <v>72</v>
      </c>
      <c r="AC58" s="25" t="s">
        <v>149</v>
      </c>
      <c r="AD58" s="24">
        <v>2.0</v>
      </c>
      <c r="AE58" s="24">
        <v>4.0</v>
      </c>
    </row>
    <row r="59" ht="15.75" customHeight="1">
      <c r="A59" s="27" t="s">
        <v>875</v>
      </c>
      <c r="B59" s="27" t="s">
        <v>876</v>
      </c>
      <c r="C59" s="27" t="s">
        <v>877</v>
      </c>
      <c r="D59" s="27" t="s">
        <v>878</v>
      </c>
      <c r="E59" s="27" t="s">
        <v>408</v>
      </c>
      <c r="F59" s="33">
        <v>35378.0</v>
      </c>
      <c r="G59" s="27" t="s">
        <v>409</v>
      </c>
      <c r="H59" s="34">
        <v>9.0</v>
      </c>
      <c r="I59" s="27" t="s">
        <v>131</v>
      </c>
      <c r="J59" s="27" t="s">
        <v>49</v>
      </c>
      <c r="K59" s="27" t="s">
        <v>803</v>
      </c>
      <c r="L59" s="27" t="s">
        <v>23</v>
      </c>
      <c r="M59" s="27" t="s">
        <v>183</v>
      </c>
      <c r="N59" s="27" t="s">
        <v>705</v>
      </c>
      <c r="O59" s="35" t="s">
        <v>879</v>
      </c>
      <c r="P59" s="27" t="s">
        <v>880</v>
      </c>
      <c r="Q59" s="27" t="s">
        <v>881</v>
      </c>
      <c r="R59" s="27" t="s">
        <v>882</v>
      </c>
      <c r="S59" s="33">
        <v>45529.0</v>
      </c>
      <c r="T59" s="27" t="s">
        <v>415</v>
      </c>
      <c r="U59" s="27" t="s">
        <v>65</v>
      </c>
      <c r="V59" s="27" t="s">
        <v>533</v>
      </c>
      <c r="W59" s="27" t="s">
        <v>720</v>
      </c>
      <c r="X59" s="27" t="s">
        <v>418</v>
      </c>
      <c r="Y59" s="36">
        <v>15.83</v>
      </c>
      <c r="Z59" s="27" t="s">
        <v>419</v>
      </c>
      <c r="AA59" s="27" t="s">
        <v>534</v>
      </c>
      <c r="AB59" s="27" t="s">
        <v>72</v>
      </c>
      <c r="AC59" s="27" t="s">
        <v>151</v>
      </c>
      <c r="AD59" s="26">
        <v>2.0</v>
      </c>
      <c r="AE59" s="26">
        <v>4.0</v>
      </c>
    </row>
    <row r="60" ht="15.75" customHeight="1">
      <c r="A60" s="25" t="s">
        <v>883</v>
      </c>
      <c r="B60" s="25" t="s">
        <v>454</v>
      </c>
      <c r="C60" s="25" t="s">
        <v>884</v>
      </c>
      <c r="D60" s="25" t="s">
        <v>885</v>
      </c>
      <c r="E60" s="25" t="s">
        <v>424</v>
      </c>
      <c r="F60" s="30">
        <v>32392.0</v>
      </c>
      <c r="G60" s="25" t="s">
        <v>409</v>
      </c>
      <c r="H60" s="31">
        <v>9.0</v>
      </c>
      <c r="I60" s="25" t="s">
        <v>131</v>
      </c>
      <c r="J60" s="25" t="s">
        <v>49</v>
      </c>
      <c r="K60" s="25" t="s">
        <v>803</v>
      </c>
      <c r="L60" s="25" t="s">
        <v>27</v>
      </c>
      <c r="M60" s="25" t="s">
        <v>177</v>
      </c>
      <c r="N60" s="25" t="s">
        <v>698</v>
      </c>
      <c r="O60" s="28" t="s">
        <v>886</v>
      </c>
      <c r="P60" s="25" t="s">
        <v>887</v>
      </c>
      <c r="Q60" s="25" t="s">
        <v>888</v>
      </c>
      <c r="R60" s="25" t="s">
        <v>889</v>
      </c>
      <c r="S60" s="30">
        <v>44973.0</v>
      </c>
      <c r="T60" s="25" t="s">
        <v>495</v>
      </c>
      <c r="U60" s="25" t="s">
        <v>65</v>
      </c>
      <c r="V60" s="25" t="s">
        <v>612</v>
      </c>
      <c r="W60" s="25" t="s">
        <v>452</v>
      </c>
      <c r="X60" s="25" t="s">
        <v>543</v>
      </c>
      <c r="Y60" s="32">
        <v>22.91</v>
      </c>
      <c r="Z60" s="25" t="s">
        <v>419</v>
      </c>
      <c r="AA60" s="25" t="s">
        <v>534</v>
      </c>
      <c r="AB60" s="25" t="s">
        <v>72</v>
      </c>
      <c r="AC60" s="25" t="s">
        <v>153</v>
      </c>
      <c r="AD60" s="24">
        <v>3.0</v>
      </c>
      <c r="AE60" s="24">
        <v>6.0</v>
      </c>
    </row>
    <row r="61" ht="15.75" customHeight="1">
      <c r="A61" s="27" t="s">
        <v>890</v>
      </c>
      <c r="B61" s="27" t="s">
        <v>891</v>
      </c>
      <c r="C61" s="27" t="s">
        <v>546</v>
      </c>
      <c r="D61" s="27" t="s">
        <v>892</v>
      </c>
      <c r="E61" s="27" t="s">
        <v>424</v>
      </c>
      <c r="F61" s="33">
        <v>33905.0</v>
      </c>
      <c r="G61" s="27" t="s">
        <v>409</v>
      </c>
      <c r="H61" s="34">
        <v>9.0</v>
      </c>
      <c r="I61" s="27" t="s">
        <v>131</v>
      </c>
      <c r="J61" s="27" t="s">
        <v>49</v>
      </c>
      <c r="K61" s="27" t="s">
        <v>803</v>
      </c>
      <c r="L61" s="27" t="s">
        <v>19</v>
      </c>
      <c r="M61" s="27" t="s">
        <v>196</v>
      </c>
      <c r="N61" s="27" t="s">
        <v>689</v>
      </c>
      <c r="O61" s="35" t="s">
        <v>893</v>
      </c>
      <c r="P61" s="27" t="s">
        <v>894</v>
      </c>
      <c r="Q61" s="27" t="s">
        <v>895</v>
      </c>
      <c r="R61" s="27" t="s">
        <v>896</v>
      </c>
      <c r="S61" s="33">
        <v>45645.0</v>
      </c>
      <c r="T61" s="27" t="s">
        <v>415</v>
      </c>
      <c r="U61" s="27" t="s">
        <v>65</v>
      </c>
      <c r="V61" s="27" t="s">
        <v>441</v>
      </c>
      <c r="W61" s="27" t="s">
        <v>452</v>
      </c>
      <c r="X61" s="27" t="s">
        <v>543</v>
      </c>
      <c r="Y61" s="36">
        <v>26.55</v>
      </c>
      <c r="Z61" s="27" t="s">
        <v>419</v>
      </c>
      <c r="AA61" s="27" t="s">
        <v>534</v>
      </c>
      <c r="AB61" s="27" t="s">
        <v>72</v>
      </c>
      <c r="AC61" s="27" t="s">
        <v>149</v>
      </c>
      <c r="AD61" s="26">
        <v>2.0</v>
      </c>
      <c r="AE61" s="26">
        <v>6.0</v>
      </c>
    </row>
    <row r="62" ht="15.75" customHeight="1">
      <c r="A62" s="25" t="s">
        <v>897</v>
      </c>
      <c r="B62" s="25" t="s">
        <v>498</v>
      </c>
      <c r="C62" s="25" t="s">
        <v>455</v>
      </c>
      <c r="D62" s="25" t="s">
        <v>898</v>
      </c>
      <c r="E62" s="25" t="s">
        <v>424</v>
      </c>
      <c r="F62" s="30">
        <v>34956.0</v>
      </c>
      <c r="G62" s="25" t="s">
        <v>527</v>
      </c>
      <c r="H62" s="31">
        <v>9.0</v>
      </c>
      <c r="I62" s="25" t="s">
        <v>131</v>
      </c>
      <c r="J62" s="25" t="s">
        <v>49</v>
      </c>
      <c r="K62" s="25" t="s">
        <v>803</v>
      </c>
      <c r="L62" s="25" t="s">
        <v>19</v>
      </c>
      <c r="M62" s="25" t="s">
        <v>177</v>
      </c>
      <c r="N62" s="25" t="s">
        <v>689</v>
      </c>
      <c r="O62" s="28" t="s">
        <v>899</v>
      </c>
      <c r="P62" s="25" t="s">
        <v>900</v>
      </c>
      <c r="Q62" s="25" t="s">
        <v>901</v>
      </c>
      <c r="R62" s="25" t="s">
        <v>902</v>
      </c>
      <c r="S62" s="30">
        <v>44630.0</v>
      </c>
      <c r="T62" s="25" t="s">
        <v>415</v>
      </c>
      <c r="U62" s="25" t="s">
        <v>65</v>
      </c>
      <c r="V62" s="25" t="s">
        <v>596</v>
      </c>
      <c r="W62" s="25" t="s">
        <v>417</v>
      </c>
      <c r="X62" s="25" t="s">
        <v>486</v>
      </c>
      <c r="Y62" s="32">
        <v>22.23</v>
      </c>
      <c r="Z62" s="25" t="s">
        <v>419</v>
      </c>
      <c r="AA62" s="25" t="s">
        <v>534</v>
      </c>
      <c r="AB62" s="25" t="s">
        <v>74</v>
      </c>
      <c r="AC62" s="25" t="s">
        <v>149</v>
      </c>
      <c r="AD62" s="24">
        <v>3.0</v>
      </c>
      <c r="AE62" s="24">
        <v>7.0</v>
      </c>
    </row>
    <row r="63" ht="15.75" customHeight="1">
      <c r="A63" s="27" t="s">
        <v>903</v>
      </c>
      <c r="B63" s="27" t="s">
        <v>621</v>
      </c>
      <c r="C63" s="27" t="s">
        <v>546</v>
      </c>
      <c r="D63" s="27" t="s">
        <v>904</v>
      </c>
      <c r="E63" s="27" t="s">
        <v>408</v>
      </c>
      <c r="F63" s="33">
        <v>33422.0</v>
      </c>
      <c r="G63" s="27" t="s">
        <v>409</v>
      </c>
      <c r="H63" s="34">
        <v>9.0</v>
      </c>
      <c r="I63" s="27" t="s">
        <v>131</v>
      </c>
      <c r="J63" s="27" t="s">
        <v>49</v>
      </c>
      <c r="K63" s="27" t="s">
        <v>803</v>
      </c>
      <c r="L63" s="27" t="s">
        <v>31</v>
      </c>
      <c r="M63" s="27" t="s">
        <v>183</v>
      </c>
      <c r="N63" s="27" t="s">
        <v>786</v>
      </c>
      <c r="O63" s="35" t="s">
        <v>905</v>
      </c>
      <c r="P63" s="27" t="s">
        <v>906</v>
      </c>
      <c r="Q63" s="27" t="s">
        <v>907</v>
      </c>
      <c r="R63" s="27" t="s">
        <v>908</v>
      </c>
      <c r="S63" s="33">
        <v>44668.0</v>
      </c>
      <c r="T63" s="27" t="s">
        <v>415</v>
      </c>
      <c r="U63" s="27" t="s">
        <v>65</v>
      </c>
      <c r="V63" s="27" t="s">
        <v>612</v>
      </c>
      <c r="W63" s="27" t="s">
        <v>522</v>
      </c>
      <c r="X63" s="27" t="s">
        <v>561</v>
      </c>
      <c r="Y63" s="36">
        <v>22.23</v>
      </c>
      <c r="Z63" s="27" t="s">
        <v>419</v>
      </c>
      <c r="AA63" s="27" t="s">
        <v>534</v>
      </c>
      <c r="AB63" s="27" t="s">
        <v>72</v>
      </c>
      <c r="AC63" s="27" t="s">
        <v>157</v>
      </c>
      <c r="AD63" s="26">
        <v>3.0</v>
      </c>
      <c r="AE63" s="26">
        <v>4.0</v>
      </c>
    </row>
    <row r="64" ht="15.75" customHeight="1">
      <c r="A64" s="25" t="s">
        <v>909</v>
      </c>
      <c r="B64" s="25" t="s">
        <v>787</v>
      </c>
      <c r="C64" s="25" t="s">
        <v>738</v>
      </c>
      <c r="D64" s="25" t="s">
        <v>910</v>
      </c>
      <c r="E64" s="25" t="s">
        <v>408</v>
      </c>
      <c r="F64" s="30">
        <v>35917.0</v>
      </c>
      <c r="G64" s="25" t="s">
        <v>409</v>
      </c>
      <c r="H64" s="31">
        <v>9.0</v>
      </c>
      <c r="I64" s="25" t="s">
        <v>131</v>
      </c>
      <c r="J64" s="25" t="s">
        <v>49</v>
      </c>
      <c r="K64" s="25" t="s">
        <v>803</v>
      </c>
      <c r="L64" s="25" t="s">
        <v>19</v>
      </c>
      <c r="M64" s="25" t="s">
        <v>205</v>
      </c>
      <c r="N64" s="25" t="s">
        <v>779</v>
      </c>
      <c r="O64" s="28" t="s">
        <v>911</v>
      </c>
      <c r="P64" s="25" t="s">
        <v>912</v>
      </c>
      <c r="Q64" s="25" t="s">
        <v>913</v>
      </c>
      <c r="R64" s="25" t="s">
        <v>914</v>
      </c>
      <c r="S64" s="30">
        <v>44921.0</v>
      </c>
      <c r="T64" s="25" t="s">
        <v>415</v>
      </c>
      <c r="U64" s="25" t="s">
        <v>65</v>
      </c>
      <c r="V64" s="25" t="s">
        <v>461</v>
      </c>
      <c r="W64" s="25" t="s">
        <v>452</v>
      </c>
      <c r="X64" s="25" t="s">
        <v>463</v>
      </c>
      <c r="Y64" s="32">
        <v>27.63</v>
      </c>
      <c r="Z64" s="25" t="s">
        <v>419</v>
      </c>
      <c r="AA64" s="25" t="s">
        <v>534</v>
      </c>
      <c r="AB64" s="25" t="s">
        <v>72</v>
      </c>
      <c r="AC64" s="25" t="s">
        <v>149</v>
      </c>
      <c r="AD64" s="24">
        <v>3.0</v>
      </c>
      <c r="AE64" s="24">
        <v>6.0</v>
      </c>
    </row>
    <row r="65" ht="15.75" customHeight="1">
      <c r="A65" s="27" t="s">
        <v>915</v>
      </c>
      <c r="B65" s="27" t="s">
        <v>699</v>
      </c>
      <c r="C65" s="27" t="s">
        <v>554</v>
      </c>
      <c r="D65" s="27" t="s">
        <v>916</v>
      </c>
      <c r="E65" s="27" t="s">
        <v>424</v>
      </c>
      <c r="F65" s="33">
        <v>34585.0</v>
      </c>
      <c r="G65" s="27" t="s">
        <v>409</v>
      </c>
      <c r="H65" s="34">
        <v>9.0</v>
      </c>
      <c r="I65" s="27" t="s">
        <v>131</v>
      </c>
      <c r="J65" s="27" t="s">
        <v>49</v>
      </c>
      <c r="K65" s="27" t="s">
        <v>803</v>
      </c>
      <c r="L65" s="27" t="s">
        <v>19</v>
      </c>
      <c r="M65" s="27" t="s">
        <v>196</v>
      </c>
      <c r="N65" s="27" t="s">
        <v>712</v>
      </c>
      <c r="O65" s="35" t="s">
        <v>917</v>
      </c>
      <c r="P65" s="27" t="s">
        <v>918</v>
      </c>
      <c r="Q65" s="27" t="s">
        <v>919</v>
      </c>
      <c r="R65" s="27" t="s">
        <v>920</v>
      </c>
      <c r="S65" s="33">
        <v>44980.0</v>
      </c>
      <c r="T65" s="27" t="s">
        <v>415</v>
      </c>
      <c r="U65" s="27" t="s">
        <v>65</v>
      </c>
      <c r="V65" s="27" t="s">
        <v>533</v>
      </c>
      <c r="W65" s="27" t="s">
        <v>674</v>
      </c>
      <c r="X65" s="27" t="s">
        <v>543</v>
      </c>
      <c r="Y65" s="36">
        <v>21.31</v>
      </c>
      <c r="Z65" s="27" t="s">
        <v>419</v>
      </c>
      <c r="AA65" s="27" t="s">
        <v>534</v>
      </c>
      <c r="AB65" s="27" t="s">
        <v>72</v>
      </c>
      <c r="AC65" s="27" t="s">
        <v>149</v>
      </c>
      <c r="AD65" s="26">
        <v>2.0</v>
      </c>
      <c r="AE65" s="26">
        <v>4.0</v>
      </c>
    </row>
    <row r="66" ht="15.75" customHeight="1">
      <c r="A66" s="25" t="s">
        <v>921</v>
      </c>
      <c r="B66" s="25" t="s">
        <v>922</v>
      </c>
      <c r="C66" s="25" t="s">
        <v>525</v>
      </c>
      <c r="D66" s="25" t="s">
        <v>923</v>
      </c>
      <c r="E66" s="25" t="s">
        <v>424</v>
      </c>
      <c r="F66" s="30">
        <v>34301.0</v>
      </c>
      <c r="G66" s="25" t="s">
        <v>669</v>
      </c>
      <c r="H66" s="31">
        <v>9.0</v>
      </c>
      <c r="I66" s="25" t="s">
        <v>131</v>
      </c>
      <c r="J66" s="25" t="s">
        <v>49</v>
      </c>
      <c r="K66" s="25" t="s">
        <v>803</v>
      </c>
      <c r="L66" s="25" t="s">
        <v>19</v>
      </c>
      <c r="M66" s="25" t="s">
        <v>188</v>
      </c>
      <c r="N66" s="25" t="s">
        <v>705</v>
      </c>
      <c r="O66" s="28" t="s">
        <v>924</v>
      </c>
      <c r="P66" s="25" t="s">
        <v>925</v>
      </c>
      <c r="Q66" s="25" t="s">
        <v>926</v>
      </c>
      <c r="R66" s="25" t="s">
        <v>927</v>
      </c>
      <c r="S66" s="30">
        <v>44512.0</v>
      </c>
      <c r="T66" s="25" t="s">
        <v>415</v>
      </c>
      <c r="U66" s="25" t="s">
        <v>65</v>
      </c>
      <c r="V66" s="25" t="s">
        <v>461</v>
      </c>
      <c r="W66" s="25" t="s">
        <v>417</v>
      </c>
      <c r="X66" s="25" t="s">
        <v>463</v>
      </c>
      <c r="Y66" s="32">
        <v>24.98</v>
      </c>
      <c r="Z66" s="25" t="s">
        <v>419</v>
      </c>
      <c r="AA66" s="25" t="s">
        <v>534</v>
      </c>
      <c r="AB66" s="25" t="s">
        <v>74</v>
      </c>
      <c r="AC66" s="25" t="s">
        <v>149</v>
      </c>
      <c r="AD66" s="24">
        <v>4.0</v>
      </c>
      <c r="AE66" s="24">
        <v>5.0</v>
      </c>
    </row>
    <row r="67" ht="15.75" customHeight="1">
      <c r="A67" s="27" t="s">
        <v>928</v>
      </c>
      <c r="B67" s="27" t="s">
        <v>929</v>
      </c>
      <c r="C67" s="27" t="s">
        <v>722</v>
      </c>
      <c r="D67" s="27" t="s">
        <v>930</v>
      </c>
      <c r="E67" s="27" t="s">
        <v>424</v>
      </c>
      <c r="F67" s="33">
        <v>34192.0</v>
      </c>
      <c r="G67" s="27" t="s">
        <v>409</v>
      </c>
      <c r="H67" s="34">
        <v>9.0</v>
      </c>
      <c r="I67" s="27" t="s">
        <v>131</v>
      </c>
      <c r="J67" s="27" t="s">
        <v>49</v>
      </c>
      <c r="K67" s="27" t="s">
        <v>803</v>
      </c>
      <c r="L67" s="27" t="s">
        <v>47</v>
      </c>
      <c r="M67" s="27" t="s">
        <v>177</v>
      </c>
      <c r="N67" s="27" t="s">
        <v>712</v>
      </c>
      <c r="O67" s="35" t="s">
        <v>931</v>
      </c>
      <c r="P67" s="27" t="s">
        <v>932</v>
      </c>
      <c r="Q67" s="27" t="s">
        <v>933</v>
      </c>
      <c r="R67" s="27" t="s">
        <v>934</v>
      </c>
      <c r="S67" s="33">
        <v>44881.0</v>
      </c>
      <c r="T67" s="27" t="s">
        <v>415</v>
      </c>
      <c r="U67" s="27" t="s">
        <v>65</v>
      </c>
      <c r="V67" s="27" t="s">
        <v>441</v>
      </c>
      <c r="W67" s="27" t="s">
        <v>417</v>
      </c>
      <c r="X67" s="27" t="s">
        <v>561</v>
      </c>
      <c r="Y67" s="36">
        <v>16.01</v>
      </c>
      <c r="Z67" s="27" t="s">
        <v>419</v>
      </c>
      <c r="AA67" s="27" t="s">
        <v>534</v>
      </c>
      <c r="AB67" s="27" t="s">
        <v>72</v>
      </c>
      <c r="AC67" s="27" t="s">
        <v>165</v>
      </c>
      <c r="AD67" s="26">
        <v>4.0</v>
      </c>
      <c r="AE67" s="26">
        <v>4.0</v>
      </c>
    </row>
    <row r="68" ht="15.75" customHeight="1">
      <c r="A68" s="25" t="s">
        <v>935</v>
      </c>
      <c r="B68" s="25" t="s">
        <v>598</v>
      </c>
      <c r="C68" s="25" t="s">
        <v>936</v>
      </c>
      <c r="D68" s="25" t="s">
        <v>937</v>
      </c>
      <c r="E68" s="25" t="s">
        <v>424</v>
      </c>
      <c r="F68" s="30">
        <v>33212.0</v>
      </c>
      <c r="G68" s="25" t="s">
        <v>409</v>
      </c>
      <c r="H68" s="31">
        <v>10.0</v>
      </c>
      <c r="I68" s="25" t="s">
        <v>53</v>
      </c>
      <c r="J68" s="25" t="s">
        <v>53</v>
      </c>
      <c r="K68" s="25" t="s">
        <v>938</v>
      </c>
      <c r="L68" s="25" t="s">
        <v>51</v>
      </c>
      <c r="M68" s="25" t="s">
        <v>177</v>
      </c>
      <c r="N68" s="25" t="s">
        <v>883</v>
      </c>
      <c r="O68" s="28" t="s">
        <v>939</v>
      </c>
      <c r="P68" s="25" t="s">
        <v>940</v>
      </c>
      <c r="Q68" s="25" t="s">
        <v>941</v>
      </c>
      <c r="R68" s="25" t="s">
        <v>942</v>
      </c>
      <c r="S68" s="30">
        <v>45268.0</v>
      </c>
      <c r="T68" s="25" t="s">
        <v>415</v>
      </c>
      <c r="U68" s="25" t="s">
        <v>65</v>
      </c>
      <c r="V68" s="25" t="s">
        <v>441</v>
      </c>
      <c r="W68" s="25" t="s">
        <v>681</v>
      </c>
      <c r="X68" s="25" t="s">
        <v>432</v>
      </c>
      <c r="Y68" s="32">
        <v>10.79</v>
      </c>
      <c r="Z68" s="25" t="s">
        <v>419</v>
      </c>
      <c r="AA68" s="25" t="s">
        <v>943</v>
      </c>
      <c r="AB68" s="25" t="s">
        <v>76</v>
      </c>
      <c r="AC68" s="25" t="s">
        <v>168</v>
      </c>
      <c r="AD68" s="24">
        <v>3.0</v>
      </c>
      <c r="AE68" s="24">
        <v>3.0</v>
      </c>
    </row>
    <row r="69" ht="15.75" customHeight="1">
      <c r="A69" s="27" t="s">
        <v>944</v>
      </c>
      <c r="B69" s="27" t="s">
        <v>582</v>
      </c>
      <c r="C69" s="27" t="s">
        <v>877</v>
      </c>
      <c r="D69" s="27" t="s">
        <v>945</v>
      </c>
      <c r="E69" s="27" t="s">
        <v>408</v>
      </c>
      <c r="F69" s="33">
        <v>35488.0</v>
      </c>
      <c r="G69" s="27" t="s">
        <v>409</v>
      </c>
      <c r="H69" s="34">
        <v>10.0</v>
      </c>
      <c r="I69" s="27" t="s">
        <v>53</v>
      </c>
      <c r="J69" s="27" t="s">
        <v>53</v>
      </c>
      <c r="K69" s="27" t="s">
        <v>938</v>
      </c>
      <c r="L69" s="27" t="s">
        <v>19</v>
      </c>
      <c r="M69" s="27" t="s">
        <v>183</v>
      </c>
      <c r="N69" s="27" t="s">
        <v>875</v>
      </c>
      <c r="O69" s="35" t="s">
        <v>946</v>
      </c>
      <c r="P69" s="27" t="s">
        <v>947</v>
      </c>
      <c r="Q69" s="27" t="s">
        <v>948</v>
      </c>
      <c r="R69" s="27" t="s">
        <v>949</v>
      </c>
      <c r="S69" s="33">
        <v>45168.0</v>
      </c>
      <c r="T69" s="27" t="s">
        <v>415</v>
      </c>
      <c r="U69" s="27" t="s">
        <v>65</v>
      </c>
      <c r="V69" s="27" t="s">
        <v>570</v>
      </c>
      <c r="W69" s="27" t="s">
        <v>473</v>
      </c>
      <c r="X69" s="27" t="s">
        <v>486</v>
      </c>
      <c r="Y69" s="36">
        <v>11.77</v>
      </c>
      <c r="Z69" s="27" t="s">
        <v>419</v>
      </c>
      <c r="AA69" s="27" t="s">
        <v>943</v>
      </c>
      <c r="AB69" s="27" t="s">
        <v>74</v>
      </c>
      <c r="AC69" s="27" t="s">
        <v>149</v>
      </c>
      <c r="AD69" s="26">
        <v>2.0</v>
      </c>
      <c r="AE69" s="26">
        <v>5.0</v>
      </c>
    </row>
    <row r="70" ht="15.75" customHeight="1">
      <c r="A70" s="25" t="s">
        <v>950</v>
      </c>
      <c r="B70" s="25" t="s">
        <v>951</v>
      </c>
      <c r="C70" s="25" t="s">
        <v>645</v>
      </c>
      <c r="D70" s="25" t="s">
        <v>952</v>
      </c>
      <c r="E70" s="25" t="s">
        <v>408</v>
      </c>
      <c r="F70" s="30">
        <v>34429.0</v>
      </c>
      <c r="G70" s="25" t="s">
        <v>409</v>
      </c>
      <c r="H70" s="31">
        <v>10.0</v>
      </c>
      <c r="I70" s="25" t="s">
        <v>53</v>
      </c>
      <c r="J70" s="25" t="s">
        <v>53</v>
      </c>
      <c r="K70" s="25" t="s">
        <v>938</v>
      </c>
      <c r="L70" s="25" t="s">
        <v>23</v>
      </c>
      <c r="M70" s="25" t="s">
        <v>183</v>
      </c>
      <c r="N70" s="25" t="s">
        <v>815</v>
      </c>
      <c r="O70" s="28" t="s">
        <v>953</v>
      </c>
      <c r="P70" s="25" t="s">
        <v>954</v>
      </c>
      <c r="Q70" s="25" t="s">
        <v>955</v>
      </c>
      <c r="R70" s="25" t="s">
        <v>956</v>
      </c>
      <c r="S70" s="30">
        <v>45208.0</v>
      </c>
      <c r="T70" s="25" t="s">
        <v>415</v>
      </c>
      <c r="U70" s="25" t="s">
        <v>65</v>
      </c>
      <c r="V70" s="25" t="s">
        <v>533</v>
      </c>
      <c r="W70" s="25" t="s">
        <v>720</v>
      </c>
      <c r="X70" s="25" t="s">
        <v>543</v>
      </c>
      <c r="Y70" s="32">
        <v>10.38</v>
      </c>
      <c r="Z70" s="25" t="s">
        <v>419</v>
      </c>
      <c r="AA70" s="25" t="s">
        <v>943</v>
      </c>
      <c r="AB70" s="25" t="s">
        <v>72</v>
      </c>
      <c r="AC70" s="25" t="s">
        <v>151</v>
      </c>
      <c r="AD70" s="24">
        <v>3.0</v>
      </c>
      <c r="AE70" s="24">
        <v>6.0</v>
      </c>
    </row>
    <row r="71" ht="15.75" customHeight="1">
      <c r="A71" s="27" t="s">
        <v>957</v>
      </c>
      <c r="B71" s="27" t="s">
        <v>951</v>
      </c>
      <c r="C71" s="27" t="s">
        <v>554</v>
      </c>
      <c r="D71" s="27" t="s">
        <v>958</v>
      </c>
      <c r="E71" s="27" t="s">
        <v>408</v>
      </c>
      <c r="F71" s="33">
        <v>35178.0</v>
      </c>
      <c r="G71" s="27" t="s">
        <v>527</v>
      </c>
      <c r="H71" s="34">
        <v>10.0</v>
      </c>
      <c r="I71" s="27" t="s">
        <v>53</v>
      </c>
      <c r="J71" s="27" t="s">
        <v>53</v>
      </c>
      <c r="K71" s="27" t="s">
        <v>938</v>
      </c>
      <c r="L71" s="27" t="s">
        <v>35</v>
      </c>
      <c r="M71" s="27" t="s">
        <v>188</v>
      </c>
      <c r="N71" s="27" t="s">
        <v>921</v>
      </c>
      <c r="O71" s="35" t="s">
        <v>959</v>
      </c>
      <c r="P71" s="27" t="s">
        <v>960</v>
      </c>
      <c r="Q71" s="27" t="s">
        <v>961</v>
      </c>
      <c r="R71" s="27" t="s">
        <v>962</v>
      </c>
      <c r="S71" s="33">
        <v>45256.0</v>
      </c>
      <c r="T71" s="27" t="s">
        <v>415</v>
      </c>
      <c r="U71" s="27" t="s">
        <v>65</v>
      </c>
      <c r="V71" s="27" t="s">
        <v>533</v>
      </c>
      <c r="W71" s="27" t="s">
        <v>473</v>
      </c>
      <c r="X71" s="27" t="s">
        <v>619</v>
      </c>
      <c r="Y71" s="36">
        <v>19.82</v>
      </c>
      <c r="Z71" s="27" t="s">
        <v>419</v>
      </c>
      <c r="AA71" s="27" t="s">
        <v>943</v>
      </c>
      <c r="AB71" s="27" t="s">
        <v>72</v>
      </c>
      <c r="AC71" s="27" t="s">
        <v>160</v>
      </c>
      <c r="AD71" s="26">
        <v>2.0</v>
      </c>
      <c r="AE71" s="26">
        <v>4.0</v>
      </c>
    </row>
    <row r="72" ht="15.75" customHeight="1">
      <c r="A72" s="25" t="s">
        <v>963</v>
      </c>
      <c r="B72" s="25" t="s">
        <v>498</v>
      </c>
      <c r="C72" s="25" t="s">
        <v>824</v>
      </c>
      <c r="D72" s="25" t="s">
        <v>964</v>
      </c>
      <c r="E72" s="25" t="s">
        <v>424</v>
      </c>
      <c r="F72" s="30">
        <v>34095.0</v>
      </c>
      <c r="G72" s="25" t="s">
        <v>409</v>
      </c>
      <c r="H72" s="31">
        <v>10.0</v>
      </c>
      <c r="I72" s="25" t="s">
        <v>53</v>
      </c>
      <c r="J72" s="25" t="s">
        <v>53</v>
      </c>
      <c r="K72" s="25" t="s">
        <v>938</v>
      </c>
      <c r="L72" s="25" t="s">
        <v>35</v>
      </c>
      <c r="M72" s="25" t="s">
        <v>177</v>
      </c>
      <c r="N72" s="25" t="s">
        <v>921</v>
      </c>
      <c r="O72" s="28" t="s">
        <v>965</v>
      </c>
      <c r="P72" s="25" t="s">
        <v>966</v>
      </c>
      <c r="Q72" s="25" t="s">
        <v>967</v>
      </c>
      <c r="R72" s="25" t="s">
        <v>968</v>
      </c>
      <c r="S72" s="30">
        <v>44908.0</v>
      </c>
      <c r="T72" s="25" t="s">
        <v>415</v>
      </c>
      <c r="U72" s="25" t="s">
        <v>65</v>
      </c>
      <c r="V72" s="25" t="s">
        <v>612</v>
      </c>
      <c r="W72" s="25" t="s">
        <v>505</v>
      </c>
      <c r="X72" s="25" t="s">
        <v>463</v>
      </c>
      <c r="Y72" s="32">
        <v>16.78</v>
      </c>
      <c r="Z72" s="25" t="s">
        <v>419</v>
      </c>
      <c r="AA72" s="25" t="s">
        <v>943</v>
      </c>
      <c r="AB72" s="25" t="s">
        <v>72</v>
      </c>
      <c r="AC72" s="25" t="s">
        <v>160</v>
      </c>
      <c r="AD72" s="24">
        <v>3.0</v>
      </c>
      <c r="AE72" s="24">
        <v>5.0</v>
      </c>
    </row>
    <row r="73" ht="15.75" customHeight="1">
      <c r="A73" s="27" t="s">
        <v>969</v>
      </c>
      <c r="B73" s="27" t="s">
        <v>629</v>
      </c>
      <c r="C73" s="27" t="s">
        <v>970</v>
      </c>
      <c r="D73" s="27" t="s">
        <v>971</v>
      </c>
      <c r="E73" s="27" t="s">
        <v>424</v>
      </c>
      <c r="F73" s="33">
        <v>34946.0</v>
      </c>
      <c r="G73" s="27" t="s">
        <v>527</v>
      </c>
      <c r="H73" s="34">
        <v>10.0</v>
      </c>
      <c r="I73" s="27" t="s">
        <v>53</v>
      </c>
      <c r="J73" s="27" t="s">
        <v>53</v>
      </c>
      <c r="K73" s="27" t="s">
        <v>938</v>
      </c>
      <c r="L73" s="27" t="s">
        <v>31</v>
      </c>
      <c r="M73" s="27" t="s">
        <v>196</v>
      </c>
      <c r="N73" s="27" t="s">
        <v>855</v>
      </c>
      <c r="O73" s="35" t="s">
        <v>972</v>
      </c>
      <c r="P73" s="27" t="s">
        <v>973</v>
      </c>
      <c r="Q73" s="27" t="s">
        <v>974</v>
      </c>
      <c r="R73" s="27" t="s">
        <v>975</v>
      </c>
      <c r="S73" s="33">
        <v>45244.0</v>
      </c>
      <c r="T73" s="27" t="s">
        <v>415</v>
      </c>
      <c r="U73" s="27" t="s">
        <v>65</v>
      </c>
      <c r="V73" s="27" t="s">
        <v>560</v>
      </c>
      <c r="W73" s="27" t="s">
        <v>720</v>
      </c>
      <c r="X73" s="27" t="s">
        <v>486</v>
      </c>
      <c r="Y73" s="36">
        <v>17.39</v>
      </c>
      <c r="Z73" s="27" t="s">
        <v>419</v>
      </c>
      <c r="AA73" s="27" t="s">
        <v>943</v>
      </c>
      <c r="AB73" s="27" t="s">
        <v>74</v>
      </c>
      <c r="AC73" s="27" t="s">
        <v>157</v>
      </c>
      <c r="AD73" s="26">
        <v>2.0</v>
      </c>
      <c r="AE73" s="26">
        <v>3.0</v>
      </c>
    </row>
    <row r="74" ht="15.75" customHeight="1">
      <c r="A74" s="25" t="s">
        <v>976</v>
      </c>
      <c r="B74" s="25" t="s">
        <v>977</v>
      </c>
      <c r="C74" s="25" t="s">
        <v>731</v>
      </c>
      <c r="D74" s="25" t="s">
        <v>978</v>
      </c>
      <c r="E74" s="25" t="s">
        <v>424</v>
      </c>
      <c r="F74" s="30">
        <v>36404.0</v>
      </c>
      <c r="G74" s="25" t="s">
        <v>409</v>
      </c>
      <c r="H74" s="31">
        <v>10.0</v>
      </c>
      <c r="I74" s="25" t="s">
        <v>53</v>
      </c>
      <c r="J74" s="25" t="s">
        <v>53</v>
      </c>
      <c r="K74" s="25" t="s">
        <v>938</v>
      </c>
      <c r="L74" s="25" t="s">
        <v>55</v>
      </c>
      <c r="M74" s="25" t="s">
        <v>188</v>
      </c>
      <c r="N74" s="25" t="s">
        <v>815</v>
      </c>
      <c r="O74" s="28" t="s">
        <v>979</v>
      </c>
      <c r="P74" s="25" t="s">
        <v>980</v>
      </c>
      <c r="Q74" s="25" t="s">
        <v>981</v>
      </c>
      <c r="R74" s="25" t="s">
        <v>982</v>
      </c>
      <c r="S74" s="30">
        <v>45276.0</v>
      </c>
      <c r="T74" s="25" t="s">
        <v>495</v>
      </c>
      <c r="U74" s="25" t="s">
        <v>65</v>
      </c>
      <c r="V74" s="25" t="s">
        <v>570</v>
      </c>
      <c r="W74" s="25" t="s">
        <v>462</v>
      </c>
      <c r="X74" s="25" t="s">
        <v>543</v>
      </c>
      <c r="Y74" s="32">
        <v>17.88</v>
      </c>
      <c r="Z74" s="25" t="s">
        <v>419</v>
      </c>
      <c r="AA74" s="25" t="s">
        <v>943</v>
      </c>
      <c r="AB74" s="25" t="s">
        <v>72</v>
      </c>
      <c r="AC74" s="25" t="s">
        <v>169</v>
      </c>
      <c r="AD74" s="24">
        <v>2.0</v>
      </c>
      <c r="AE74" s="24">
        <v>4.0</v>
      </c>
    </row>
    <row r="75" ht="15.75" customHeight="1">
      <c r="A75" s="27" t="s">
        <v>983</v>
      </c>
      <c r="B75" s="27" t="s">
        <v>984</v>
      </c>
      <c r="C75" s="27" t="s">
        <v>985</v>
      </c>
      <c r="D75" s="27" t="s">
        <v>986</v>
      </c>
      <c r="E75" s="27" t="s">
        <v>408</v>
      </c>
      <c r="F75" s="33">
        <v>35822.0</v>
      </c>
      <c r="G75" s="27" t="s">
        <v>409</v>
      </c>
      <c r="H75" s="34">
        <v>10.0</v>
      </c>
      <c r="I75" s="27" t="s">
        <v>53</v>
      </c>
      <c r="J75" s="27" t="s">
        <v>53</v>
      </c>
      <c r="K75" s="27" t="s">
        <v>938</v>
      </c>
      <c r="L75" s="27" t="s">
        <v>19</v>
      </c>
      <c r="M75" s="27" t="s">
        <v>183</v>
      </c>
      <c r="N75" s="27" t="s">
        <v>801</v>
      </c>
      <c r="O75" s="35" t="s">
        <v>987</v>
      </c>
      <c r="P75" s="27" t="s">
        <v>988</v>
      </c>
      <c r="Q75" s="27" t="s">
        <v>989</v>
      </c>
      <c r="R75" s="27" t="s">
        <v>990</v>
      </c>
      <c r="S75" s="33">
        <v>45375.0</v>
      </c>
      <c r="T75" s="27" t="s">
        <v>415</v>
      </c>
      <c r="U75" s="27" t="s">
        <v>65</v>
      </c>
      <c r="V75" s="27" t="s">
        <v>612</v>
      </c>
      <c r="W75" s="27" t="s">
        <v>496</v>
      </c>
      <c r="X75" s="27" t="s">
        <v>486</v>
      </c>
      <c r="Y75" s="36">
        <v>17.49</v>
      </c>
      <c r="Z75" s="27" t="s">
        <v>419</v>
      </c>
      <c r="AA75" s="27" t="s">
        <v>943</v>
      </c>
      <c r="AB75" s="27" t="s">
        <v>72</v>
      </c>
      <c r="AC75" s="27" t="s">
        <v>149</v>
      </c>
      <c r="AD75" s="26">
        <v>2.0</v>
      </c>
      <c r="AE75" s="26">
        <v>6.0</v>
      </c>
    </row>
    <row r="76" ht="15.75" customHeight="1">
      <c r="A76" s="25" t="s">
        <v>991</v>
      </c>
      <c r="B76" s="25" t="s">
        <v>992</v>
      </c>
      <c r="C76" s="25" t="s">
        <v>466</v>
      </c>
      <c r="D76" s="25" t="s">
        <v>993</v>
      </c>
      <c r="E76" s="25" t="s">
        <v>424</v>
      </c>
      <c r="F76" s="30">
        <v>34568.0</v>
      </c>
      <c r="G76" s="25" t="s">
        <v>409</v>
      </c>
      <c r="H76" s="31">
        <v>10.0</v>
      </c>
      <c r="I76" s="25" t="s">
        <v>53</v>
      </c>
      <c r="J76" s="25" t="s">
        <v>53</v>
      </c>
      <c r="K76" s="25" t="s">
        <v>938</v>
      </c>
      <c r="L76" s="25" t="s">
        <v>47</v>
      </c>
      <c r="M76" s="25" t="s">
        <v>200</v>
      </c>
      <c r="N76" s="25" t="s">
        <v>815</v>
      </c>
      <c r="O76" s="28" t="s">
        <v>994</v>
      </c>
      <c r="P76" s="25" t="s">
        <v>995</v>
      </c>
      <c r="Q76" s="25" t="s">
        <v>996</v>
      </c>
      <c r="R76" s="25" t="s">
        <v>997</v>
      </c>
      <c r="S76" s="30">
        <v>44727.0</v>
      </c>
      <c r="T76" s="25" t="s">
        <v>415</v>
      </c>
      <c r="U76" s="25" t="s">
        <v>65</v>
      </c>
      <c r="V76" s="25" t="s">
        <v>570</v>
      </c>
      <c r="W76" s="25" t="s">
        <v>505</v>
      </c>
      <c r="X76" s="25" t="s">
        <v>463</v>
      </c>
      <c r="Y76" s="32">
        <v>13.71</v>
      </c>
      <c r="Z76" s="25" t="s">
        <v>419</v>
      </c>
      <c r="AA76" s="25" t="s">
        <v>943</v>
      </c>
      <c r="AB76" s="25" t="s">
        <v>76</v>
      </c>
      <c r="AC76" s="25" t="s">
        <v>165</v>
      </c>
      <c r="AD76" s="24">
        <v>3.0</v>
      </c>
      <c r="AE76" s="24">
        <v>5.0</v>
      </c>
    </row>
    <row r="77" ht="15.75" customHeight="1">
      <c r="A77" s="27" t="s">
        <v>998</v>
      </c>
      <c r="B77" s="27" t="s">
        <v>891</v>
      </c>
      <c r="C77" s="27" t="s">
        <v>455</v>
      </c>
      <c r="D77" s="27" t="s">
        <v>999</v>
      </c>
      <c r="E77" s="27" t="s">
        <v>424</v>
      </c>
      <c r="F77" s="33">
        <v>35912.0</v>
      </c>
      <c r="G77" s="27" t="s">
        <v>409</v>
      </c>
      <c r="H77" s="34">
        <v>10.0</v>
      </c>
      <c r="I77" s="27" t="s">
        <v>53</v>
      </c>
      <c r="J77" s="27" t="s">
        <v>53</v>
      </c>
      <c r="K77" s="27" t="s">
        <v>938</v>
      </c>
      <c r="L77" s="27" t="s">
        <v>55</v>
      </c>
      <c r="M77" s="27" t="s">
        <v>183</v>
      </c>
      <c r="N77" s="27" t="s">
        <v>843</v>
      </c>
      <c r="O77" s="35" t="s">
        <v>1000</v>
      </c>
      <c r="P77" s="27" t="s">
        <v>1001</v>
      </c>
      <c r="Q77" s="27" t="s">
        <v>1002</v>
      </c>
      <c r="R77" s="27" t="s">
        <v>1003</v>
      </c>
      <c r="S77" s="33">
        <v>44655.0</v>
      </c>
      <c r="T77" s="27" t="s">
        <v>415</v>
      </c>
      <c r="U77" s="27" t="s">
        <v>73</v>
      </c>
      <c r="V77" s="27" t="s">
        <v>596</v>
      </c>
      <c r="W77" s="27" t="s">
        <v>452</v>
      </c>
      <c r="X77" s="27" t="s">
        <v>432</v>
      </c>
      <c r="Y77" s="36">
        <v>13.96</v>
      </c>
      <c r="Z77" s="27" t="s">
        <v>419</v>
      </c>
      <c r="AA77" s="27" t="s">
        <v>943</v>
      </c>
      <c r="AB77" s="27" t="s">
        <v>72</v>
      </c>
      <c r="AC77" s="27" t="s">
        <v>169</v>
      </c>
      <c r="AD77" s="26">
        <v>3.0</v>
      </c>
      <c r="AE77" s="26">
        <v>5.0</v>
      </c>
    </row>
    <row r="78" ht="15.75" customHeight="1">
      <c r="A78" s="25" t="s">
        <v>1004</v>
      </c>
      <c r="B78" s="25" t="s">
        <v>869</v>
      </c>
      <c r="C78" s="25" t="s">
        <v>1005</v>
      </c>
      <c r="D78" s="25" t="s">
        <v>1006</v>
      </c>
      <c r="E78" s="25" t="s">
        <v>408</v>
      </c>
      <c r="F78" s="30">
        <v>33684.0</v>
      </c>
      <c r="G78" s="25" t="s">
        <v>409</v>
      </c>
      <c r="H78" s="31">
        <v>10.0</v>
      </c>
      <c r="I78" s="25" t="s">
        <v>53</v>
      </c>
      <c r="J78" s="25" t="s">
        <v>53</v>
      </c>
      <c r="K78" s="25" t="s">
        <v>938</v>
      </c>
      <c r="L78" s="25" t="s">
        <v>51</v>
      </c>
      <c r="M78" s="25" t="s">
        <v>196</v>
      </c>
      <c r="N78" s="25" t="s">
        <v>897</v>
      </c>
      <c r="O78" s="28" t="s">
        <v>1007</v>
      </c>
      <c r="P78" s="25" t="s">
        <v>1008</v>
      </c>
      <c r="Q78" s="25" t="s">
        <v>1009</v>
      </c>
      <c r="R78" s="25" t="s">
        <v>1010</v>
      </c>
      <c r="S78" s="30">
        <v>45274.0</v>
      </c>
      <c r="T78" s="25" t="s">
        <v>415</v>
      </c>
      <c r="U78" s="25" t="s">
        <v>65</v>
      </c>
      <c r="V78" s="25" t="s">
        <v>596</v>
      </c>
      <c r="W78" s="25" t="s">
        <v>485</v>
      </c>
      <c r="X78" s="25" t="s">
        <v>561</v>
      </c>
      <c r="Y78" s="32">
        <v>12.56</v>
      </c>
      <c r="Z78" s="25" t="s">
        <v>419</v>
      </c>
      <c r="AA78" s="25" t="s">
        <v>943</v>
      </c>
      <c r="AB78" s="25" t="s">
        <v>76</v>
      </c>
      <c r="AC78" s="25" t="s">
        <v>168</v>
      </c>
      <c r="AD78" s="24">
        <v>3.0</v>
      </c>
      <c r="AE78" s="24">
        <v>4.0</v>
      </c>
    </row>
    <row r="79" ht="15.75" customHeight="1">
      <c r="A79" s="27" t="s">
        <v>1011</v>
      </c>
      <c r="B79" s="27" t="s">
        <v>1012</v>
      </c>
      <c r="C79" s="27" t="s">
        <v>667</v>
      </c>
      <c r="D79" s="27" t="s">
        <v>1013</v>
      </c>
      <c r="E79" s="27" t="s">
        <v>424</v>
      </c>
      <c r="F79" s="33">
        <v>33485.0</v>
      </c>
      <c r="G79" s="27" t="s">
        <v>409</v>
      </c>
      <c r="H79" s="34">
        <v>10.0</v>
      </c>
      <c r="I79" s="27" t="s">
        <v>53</v>
      </c>
      <c r="J79" s="27" t="s">
        <v>53</v>
      </c>
      <c r="K79" s="27" t="s">
        <v>938</v>
      </c>
      <c r="L79" s="27" t="s">
        <v>47</v>
      </c>
      <c r="M79" s="27" t="s">
        <v>188</v>
      </c>
      <c r="N79" s="27" t="s">
        <v>830</v>
      </c>
      <c r="O79" s="35" t="s">
        <v>1014</v>
      </c>
      <c r="P79" s="27" t="s">
        <v>1015</v>
      </c>
      <c r="Q79" s="27" t="s">
        <v>1016</v>
      </c>
      <c r="R79" s="27" t="s">
        <v>1017</v>
      </c>
      <c r="S79" s="33">
        <v>45216.0</v>
      </c>
      <c r="T79" s="27" t="s">
        <v>415</v>
      </c>
      <c r="U79" s="27" t="s">
        <v>65</v>
      </c>
      <c r="V79" s="27" t="s">
        <v>533</v>
      </c>
      <c r="W79" s="27" t="s">
        <v>674</v>
      </c>
      <c r="X79" s="27" t="s">
        <v>418</v>
      </c>
      <c r="Y79" s="36">
        <v>16.32</v>
      </c>
      <c r="Z79" s="27" t="s">
        <v>419</v>
      </c>
      <c r="AA79" s="27" t="s">
        <v>943</v>
      </c>
      <c r="AB79" s="27" t="s">
        <v>74</v>
      </c>
      <c r="AC79" s="27" t="s">
        <v>165</v>
      </c>
      <c r="AD79" s="26">
        <v>3.0</v>
      </c>
      <c r="AE79" s="26">
        <v>6.0</v>
      </c>
    </row>
    <row r="80" ht="15.75" customHeight="1">
      <c r="A80" s="25" t="s">
        <v>1018</v>
      </c>
      <c r="B80" s="25" t="s">
        <v>706</v>
      </c>
      <c r="C80" s="25" t="s">
        <v>773</v>
      </c>
      <c r="D80" s="25" t="s">
        <v>1019</v>
      </c>
      <c r="E80" s="25" t="s">
        <v>408</v>
      </c>
      <c r="F80" s="30">
        <v>36501.0</v>
      </c>
      <c r="G80" s="25" t="s">
        <v>409</v>
      </c>
      <c r="H80" s="31">
        <v>10.0</v>
      </c>
      <c r="I80" s="25" t="s">
        <v>53</v>
      </c>
      <c r="J80" s="25" t="s">
        <v>53</v>
      </c>
      <c r="K80" s="25" t="s">
        <v>938</v>
      </c>
      <c r="L80" s="25" t="s">
        <v>55</v>
      </c>
      <c r="M80" s="25" t="s">
        <v>192</v>
      </c>
      <c r="N80" s="25" t="s">
        <v>815</v>
      </c>
      <c r="O80" s="28" t="s">
        <v>1020</v>
      </c>
      <c r="P80" s="25" t="s">
        <v>1021</v>
      </c>
      <c r="Q80" s="25" t="s">
        <v>1022</v>
      </c>
      <c r="R80" s="25" t="s">
        <v>1023</v>
      </c>
      <c r="S80" s="30">
        <v>44631.0</v>
      </c>
      <c r="T80" s="25" t="s">
        <v>495</v>
      </c>
      <c r="U80" s="25" t="s">
        <v>65</v>
      </c>
      <c r="V80" s="25" t="s">
        <v>441</v>
      </c>
      <c r="W80" s="25" t="s">
        <v>505</v>
      </c>
      <c r="X80" s="25" t="s">
        <v>486</v>
      </c>
      <c r="Y80" s="32">
        <v>14.7</v>
      </c>
      <c r="Z80" s="25" t="s">
        <v>419</v>
      </c>
      <c r="AA80" s="25" t="s">
        <v>943</v>
      </c>
      <c r="AB80" s="25" t="s">
        <v>74</v>
      </c>
      <c r="AC80" s="25" t="s">
        <v>169</v>
      </c>
      <c r="AD80" s="24">
        <v>3.0</v>
      </c>
      <c r="AE80" s="24">
        <v>4.0</v>
      </c>
    </row>
    <row r="81" ht="15.75" customHeight="1">
      <c r="A81" s="27" t="s">
        <v>1024</v>
      </c>
      <c r="B81" s="27" t="s">
        <v>545</v>
      </c>
      <c r="C81" s="27" t="s">
        <v>714</v>
      </c>
      <c r="D81" s="27" t="s">
        <v>1025</v>
      </c>
      <c r="E81" s="27" t="s">
        <v>408</v>
      </c>
      <c r="F81" s="33">
        <v>33055.0</v>
      </c>
      <c r="G81" s="27" t="s">
        <v>99</v>
      </c>
      <c r="H81" s="34">
        <v>10.0</v>
      </c>
      <c r="I81" s="27" t="s">
        <v>53</v>
      </c>
      <c r="J81" s="27" t="s">
        <v>53</v>
      </c>
      <c r="K81" s="27" t="s">
        <v>938</v>
      </c>
      <c r="L81" s="27" t="s">
        <v>31</v>
      </c>
      <c r="M81" s="27" t="s">
        <v>200</v>
      </c>
      <c r="N81" s="27" t="s">
        <v>868</v>
      </c>
      <c r="O81" s="35" t="s">
        <v>1026</v>
      </c>
      <c r="P81" s="27" t="s">
        <v>1027</v>
      </c>
      <c r="Q81" s="27" t="s">
        <v>1028</v>
      </c>
      <c r="R81" s="27" t="s">
        <v>1029</v>
      </c>
      <c r="S81" s="33">
        <v>45287.0</v>
      </c>
      <c r="T81" s="27" t="s">
        <v>415</v>
      </c>
      <c r="U81" s="27" t="s">
        <v>65</v>
      </c>
      <c r="V81" s="27" t="s">
        <v>570</v>
      </c>
      <c r="W81" s="27" t="s">
        <v>728</v>
      </c>
      <c r="X81" s="27" t="s">
        <v>418</v>
      </c>
      <c r="Y81" s="36">
        <v>14.79</v>
      </c>
      <c r="Z81" s="27" t="s">
        <v>419</v>
      </c>
      <c r="AA81" s="27" t="s">
        <v>943</v>
      </c>
      <c r="AB81" s="27" t="s">
        <v>72</v>
      </c>
      <c r="AC81" s="27" t="s">
        <v>157</v>
      </c>
      <c r="AD81" s="26">
        <v>2.0</v>
      </c>
      <c r="AE81" s="26">
        <v>3.0</v>
      </c>
    </row>
    <row r="82" ht="15.75" customHeight="1">
      <c r="A82" s="25" t="s">
        <v>1030</v>
      </c>
      <c r="B82" s="25" t="s">
        <v>1031</v>
      </c>
      <c r="C82" s="25" t="s">
        <v>936</v>
      </c>
      <c r="D82" s="25" t="s">
        <v>1032</v>
      </c>
      <c r="E82" s="25" t="s">
        <v>408</v>
      </c>
      <c r="F82" s="30">
        <v>36332.0</v>
      </c>
      <c r="G82" s="25" t="s">
        <v>409</v>
      </c>
      <c r="H82" s="31">
        <v>10.0</v>
      </c>
      <c r="I82" s="25" t="s">
        <v>53</v>
      </c>
      <c r="J82" s="25" t="s">
        <v>53</v>
      </c>
      <c r="K82" s="25" t="s">
        <v>938</v>
      </c>
      <c r="L82" s="25" t="s">
        <v>23</v>
      </c>
      <c r="M82" s="25" t="s">
        <v>200</v>
      </c>
      <c r="N82" s="25" t="s">
        <v>822</v>
      </c>
      <c r="O82" s="28" t="s">
        <v>1033</v>
      </c>
      <c r="P82" s="25" t="s">
        <v>1034</v>
      </c>
      <c r="Q82" s="25" t="s">
        <v>1035</v>
      </c>
      <c r="R82" s="25" t="s">
        <v>1036</v>
      </c>
      <c r="S82" s="30">
        <v>45089.0</v>
      </c>
      <c r="T82" s="25" t="s">
        <v>415</v>
      </c>
      <c r="U82" s="25" t="s">
        <v>65</v>
      </c>
      <c r="V82" s="25" t="s">
        <v>596</v>
      </c>
      <c r="W82" s="25" t="s">
        <v>674</v>
      </c>
      <c r="X82" s="25" t="s">
        <v>543</v>
      </c>
      <c r="Y82" s="32">
        <v>13.57</v>
      </c>
      <c r="Z82" s="25" t="s">
        <v>419</v>
      </c>
      <c r="AA82" s="25" t="s">
        <v>943</v>
      </c>
      <c r="AB82" s="25" t="s">
        <v>74</v>
      </c>
      <c r="AC82" s="25" t="s">
        <v>151</v>
      </c>
      <c r="AD82" s="24">
        <v>3.0</v>
      </c>
      <c r="AE82" s="24">
        <v>6.0</v>
      </c>
    </row>
    <row r="83" ht="15.75" customHeight="1">
      <c r="A83" s="27" t="s">
        <v>1037</v>
      </c>
      <c r="B83" s="27" t="s">
        <v>652</v>
      </c>
      <c r="C83" s="27" t="s">
        <v>714</v>
      </c>
      <c r="D83" s="27" t="s">
        <v>1038</v>
      </c>
      <c r="E83" s="27" t="s">
        <v>424</v>
      </c>
      <c r="F83" s="33">
        <v>36497.0</v>
      </c>
      <c r="G83" s="27" t="s">
        <v>409</v>
      </c>
      <c r="H83" s="34">
        <v>10.0</v>
      </c>
      <c r="I83" s="27" t="s">
        <v>53</v>
      </c>
      <c r="J83" s="27" t="s">
        <v>53</v>
      </c>
      <c r="K83" s="27" t="s">
        <v>938</v>
      </c>
      <c r="L83" s="27" t="s">
        <v>39</v>
      </c>
      <c r="M83" s="27" t="s">
        <v>183</v>
      </c>
      <c r="N83" s="27" t="s">
        <v>808</v>
      </c>
      <c r="O83" s="35" t="s">
        <v>1039</v>
      </c>
      <c r="P83" s="27" t="s">
        <v>1040</v>
      </c>
      <c r="Q83" s="27" t="s">
        <v>1041</v>
      </c>
      <c r="R83" s="27" t="s">
        <v>1042</v>
      </c>
      <c r="S83" s="33">
        <v>45435.0</v>
      </c>
      <c r="T83" s="27" t="s">
        <v>415</v>
      </c>
      <c r="U83" s="27" t="s">
        <v>65</v>
      </c>
      <c r="V83" s="27" t="s">
        <v>441</v>
      </c>
      <c r="W83" s="27" t="s">
        <v>505</v>
      </c>
      <c r="X83" s="27" t="s">
        <v>486</v>
      </c>
      <c r="Y83" s="36">
        <v>10.79</v>
      </c>
      <c r="Z83" s="27" t="s">
        <v>419</v>
      </c>
      <c r="AA83" s="27" t="s">
        <v>943</v>
      </c>
      <c r="AB83" s="27" t="s">
        <v>74</v>
      </c>
      <c r="AC83" s="27" t="s">
        <v>163</v>
      </c>
      <c r="AD83" s="26">
        <v>2.0</v>
      </c>
      <c r="AE83" s="26">
        <v>5.0</v>
      </c>
    </row>
    <row r="84" ht="15.75" customHeight="1">
      <c r="A84" s="25" t="s">
        <v>1043</v>
      </c>
      <c r="B84" s="25" t="s">
        <v>659</v>
      </c>
      <c r="C84" s="25" t="s">
        <v>422</v>
      </c>
      <c r="D84" s="25" t="s">
        <v>1044</v>
      </c>
      <c r="E84" s="25" t="s">
        <v>424</v>
      </c>
      <c r="F84" s="30">
        <v>35334.0</v>
      </c>
      <c r="G84" s="25" t="s">
        <v>409</v>
      </c>
      <c r="H84" s="31">
        <v>10.0</v>
      </c>
      <c r="I84" s="25" t="s">
        <v>53</v>
      </c>
      <c r="J84" s="25" t="s">
        <v>53</v>
      </c>
      <c r="K84" s="25" t="s">
        <v>938</v>
      </c>
      <c r="L84" s="25" t="s">
        <v>27</v>
      </c>
      <c r="M84" s="25" t="s">
        <v>196</v>
      </c>
      <c r="N84" s="25" t="s">
        <v>897</v>
      </c>
      <c r="O84" s="28" t="s">
        <v>1045</v>
      </c>
      <c r="P84" s="25" t="s">
        <v>1046</v>
      </c>
      <c r="Q84" s="25" t="s">
        <v>1047</v>
      </c>
      <c r="R84" s="25" t="s">
        <v>1048</v>
      </c>
      <c r="S84" s="30">
        <v>44921.0</v>
      </c>
      <c r="T84" s="25" t="s">
        <v>415</v>
      </c>
      <c r="U84" s="25" t="s">
        <v>65</v>
      </c>
      <c r="V84" s="25" t="s">
        <v>560</v>
      </c>
      <c r="W84" s="25" t="s">
        <v>681</v>
      </c>
      <c r="X84" s="25" t="s">
        <v>474</v>
      </c>
      <c r="Y84" s="32">
        <v>17.91</v>
      </c>
      <c r="Z84" s="25" t="s">
        <v>419</v>
      </c>
      <c r="AA84" s="25" t="s">
        <v>943</v>
      </c>
      <c r="AB84" s="25" t="s">
        <v>72</v>
      </c>
      <c r="AC84" s="25" t="s">
        <v>153</v>
      </c>
      <c r="AD84" s="24">
        <v>3.0</v>
      </c>
      <c r="AE84" s="24">
        <v>4.0</v>
      </c>
    </row>
    <row r="85" ht="15.75" customHeight="1">
      <c r="A85" s="27" t="s">
        <v>1049</v>
      </c>
      <c r="B85" s="27" t="s">
        <v>1050</v>
      </c>
      <c r="C85" s="27" t="s">
        <v>970</v>
      </c>
      <c r="D85" s="27" t="s">
        <v>1051</v>
      </c>
      <c r="E85" s="27" t="s">
        <v>424</v>
      </c>
      <c r="F85" s="33">
        <v>32784.0</v>
      </c>
      <c r="G85" s="27" t="s">
        <v>409</v>
      </c>
      <c r="H85" s="34">
        <v>10.0</v>
      </c>
      <c r="I85" s="27" t="s">
        <v>53</v>
      </c>
      <c r="J85" s="27" t="s">
        <v>53</v>
      </c>
      <c r="K85" s="27" t="s">
        <v>938</v>
      </c>
      <c r="L85" s="27" t="s">
        <v>23</v>
      </c>
      <c r="M85" s="27" t="s">
        <v>188</v>
      </c>
      <c r="N85" s="27" t="s">
        <v>808</v>
      </c>
      <c r="O85" s="35" t="s">
        <v>1052</v>
      </c>
      <c r="P85" s="27" t="s">
        <v>1053</v>
      </c>
      <c r="Q85" s="27" t="s">
        <v>1054</v>
      </c>
      <c r="R85" s="27" t="s">
        <v>1055</v>
      </c>
      <c r="S85" s="33">
        <v>45587.0</v>
      </c>
      <c r="T85" s="27" t="s">
        <v>415</v>
      </c>
      <c r="U85" s="27" t="s">
        <v>65</v>
      </c>
      <c r="V85" s="27" t="s">
        <v>461</v>
      </c>
      <c r="W85" s="27" t="s">
        <v>431</v>
      </c>
      <c r="X85" s="27" t="s">
        <v>486</v>
      </c>
      <c r="Y85" s="36">
        <v>13.71</v>
      </c>
      <c r="Z85" s="27" t="s">
        <v>419</v>
      </c>
      <c r="AA85" s="27" t="s">
        <v>943</v>
      </c>
      <c r="AB85" s="27" t="s">
        <v>72</v>
      </c>
      <c r="AC85" s="27" t="s">
        <v>151</v>
      </c>
      <c r="AD85" s="26">
        <v>2.0</v>
      </c>
      <c r="AE85" s="26">
        <v>5.0</v>
      </c>
    </row>
    <row r="86" ht="15.75" customHeight="1">
      <c r="A86" s="25" t="s">
        <v>1056</v>
      </c>
      <c r="B86" s="25" t="s">
        <v>1057</v>
      </c>
      <c r="C86" s="25" t="s">
        <v>884</v>
      </c>
      <c r="D86" s="25" t="s">
        <v>1058</v>
      </c>
      <c r="E86" s="25" t="s">
        <v>408</v>
      </c>
      <c r="F86" s="30">
        <v>35522.0</v>
      </c>
      <c r="G86" s="25" t="s">
        <v>409</v>
      </c>
      <c r="H86" s="31">
        <v>10.0</v>
      </c>
      <c r="I86" s="25" t="s">
        <v>53</v>
      </c>
      <c r="J86" s="25" t="s">
        <v>53</v>
      </c>
      <c r="K86" s="25" t="s">
        <v>938</v>
      </c>
      <c r="L86" s="25" t="s">
        <v>27</v>
      </c>
      <c r="M86" s="25" t="s">
        <v>210</v>
      </c>
      <c r="N86" s="25" t="s">
        <v>837</v>
      </c>
      <c r="O86" s="28" t="s">
        <v>1059</v>
      </c>
      <c r="P86" s="25" t="s">
        <v>1060</v>
      </c>
      <c r="Q86" s="25" t="s">
        <v>1061</v>
      </c>
      <c r="R86" s="25" t="s">
        <v>1062</v>
      </c>
      <c r="S86" s="30">
        <v>45438.0</v>
      </c>
      <c r="T86" s="25" t="s">
        <v>415</v>
      </c>
      <c r="U86" s="25" t="s">
        <v>65</v>
      </c>
      <c r="V86" s="25" t="s">
        <v>533</v>
      </c>
      <c r="W86" s="25" t="s">
        <v>505</v>
      </c>
      <c r="X86" s="25" t="s">
        <v>619</v>
      </c>
      <c r="Y86" s="32">
        <v>19.96</v>
      </c>
      <c r="Z86" s="25" t="s">
        <v>419</v>
      </c>
      <c r="AA86" s="25" t="s">
        <v>943</v>
      </c>
      <c r="AB86" s="25" t="s">
        <v>72</v>
      </c>
      <c r="AC86" s="25" t="s">
        <v>153</v>
      </c>
      <c r="AD86" s="24">
        <v>2.0</v>
      </c>
      <c r="AE86" s="24">
        <v>4.0</v>
      </c>
    </row>
    <row r="87" ht="15.75" customHeight="1">
      <c r="A87" s="27" t="s">
        <v>1063</v>
      </c>
      <c r="B87" s="27" t="s">
        <v>780</v>
      </c>
      <c r="C87" s="27" t="s">
        <v>936</v>
      </c>
      <c r="D87" s="27" t="s">
        <v>1064</v>
      </c>
      <c r="E87" s="27" t="s">
        <v>424</v>
      </c>
      <c r="F87" s="33">
        <v>35244.0</v>
      </c>
      <c r="G87" s="27" t="s">
        <v>575</v>
      </c>
      <c r="H87" s="34">
        <v>10.0</v>
      </c>
      <c r="I87" s="27" t="s">
        <v>53</v>
      </c>
      <c r="J87" s="27" t="s">
        <v>53</v>
      </c>
      <c r="K87" s="27" t="s">
        <v>938</v>
      </c>
      <c r="L87" s="27" t="s">
        <v>19</v>
      </c>
      <c r="M87" s="27" t="s">
        <v>192</v>
      </c>
      <c r="N87" s="27" t="s">
        <v>921</v>
      </c>
      <c r="O87" s="35" t="s">
        <v>1065</v>
      </c>
      <c r="P87" s="27" t="s">
        <v>1066</v>
      </c>
      <c r="Q87" s="27" t="s">
        <v>1067</v>
      </c>
      <c r="R87" s="27" t="s">
        <v>1068</v>
      </c>
      <c r="S87" s="33">
        <v>45288.0</v>
      </c>
      <c r="T87" s="27" t="s">
        <v>415</v>
      </c>
      <c r="U87" s="27" t="s">
        <v>65</v>
      </c>
      <c r="V87" s="27" t="s">
        <v>560</v>
      </c>
      <c r="W87" s="27" t="s">
        <v>462</v>
      </c>
      <c r="X87" s="27" t="s">
        <v>418</v>
      </c>
      <c r="Y87" s="36">
        <v>16.38</v>
      </c>
      <c r="Z87" s="27" t="s">
        <v>419</v>
      </c>
      <c r="AA87" s="27" t="s">
        <v>943</v>
      </c>
      <c r="AB87" s="27" t="s">
        <v>74</v>
      </c>
      <c r="AC87" s="27" t="s">
        <v>149</v>
      </c>
      <c r="AD87" s="26">
        <v>3.0</v>
      </c>
      <c r="AE87" s="26">
        <v>6.0</v>
      </c>
    </row>
    <row r="88" ht="15.75" customHeight="1">
      <c r="A88" s="25" t="s">
        <v>1069</v>
      </c>
      <c r="B88" s="25" t="s">
        <v>1070</v>
      </c>
      <c r="C88" s="25" t="s">
        <v>637</v>
      </c>
      <c r="D88" s="25" t="s">
        <v>1071</v>
      </c>
      <c r="E88" s="25" t="s">
        <v>408</v>
      </c>
      <c r="F88" s="30">
        <v>34853.0</v>
      </c>
      <c r="G88" s="25" t="s">
        <v>409</v>
      </c>
      <c r="H88" s="31">
        <v>10.0</v>
      </c>
      <c r="I88" s="25" t="s">
        <v>53</v>
      </c>
      <c r="J88" s="25" t="s">
        <v>53</v>
      </c>
      <c r="K88" s="25" t="s">
        <v>938</v>
      </c>
      <c r="L88" s="25" t="s">
        <v>47</v>
      </c>
      <c r="M88" s="25" t="s">
        <v>192</v>
      </c>
      <c r="N88" s="25" t="s">
        <v>890</v>
      </c>
      <c r="O88" s="28" t="s">
        <v>1072</v>
      </c>
      <c r="P88" s="25" t="s">
        <v>1073</v>
      </c>
      <c r="Q88" s="25" t="s">
        <v>1074</v>
      </c>
      <c r="R88" s="25" t="s">
        <v>1075</v>
      </c>
      <c r="S88" s="30">
        <v>45040.0</v>
      </c>
      <c r="T88" s="25" t="s">
        <v>415</v>
      </c>
      <c r="U88" s="25" t="s">
        <v>65</v>
      </c>
      <c r="V88" s="25" t="s">
        <v>461</v>
      </c>
      <c r="W88" s="25" t="s">
        <v>462</v>
      </c>
      <c r="X88" s="25" t="s">
        <v>486</v>
      </c>
      <c r="Y88" s="32">
        <v>17.17</v>
      </c>
      <c r="Z88" s="25" t="s">
        <v>419</v>
      </c>
      <c r="AA88" s="25" t="s">
        <v>943</v>
      </c>
      <c r="AB88" s="25" t="s">
        <v>72</v>
      </c>
      <c r="AC88" s="25" t="s">
        <v>165</v>
      </c>
      <c r="AD88" s="24">
        <v>3.0</v>
      </c>
      <c r="AE88" s="24">
        <v>3.0</v>
      </c>
    </row>
    <row r="89" ht="15.75" customHeight="1">
      <c r="A89" s="27" t="s">
        <v>1076</v>
      </c>
      <c r="B89" s="27" t="s">
        <v>454</v>
      </c>
      <c r="C89" s="27" t="s">
        <v>773</v>
      </c>
      <c r="D89" s="27" t="s">
        <v>1077</v>
      </c>
      <c r="E89" s="27" t="s">
        <v>424</v>
      </c>
      <c r="F89" s="33">
        <v>33920.0</v>
      </c>
      <c r="G89" s="27" t="s">
        <v>409</v>
      </c>
      <c r="H89" s="34">
        <v>10.0</v>
      </c>
      <c r="I89" s="27" t="s">
        <v>53</v>
      </c>
      <c r="J89" s="27" t="s">
        <v>53</v>
      </c>
      <c r="K89" s="27" t="s">
        <v>938</v>
      </c>
      <c r="L89" s="27" t="s">
        <v>35</v>
      </c>
      <c r="M89" s="27" t="s">
        <v>183</v>
      </c>
      <c r="N89" s="27" t="s">
        <v>883</v>
      </c>
      <c r="O89" s="35" t="s">
        <v>1078</v>
      </c>
      <c r="P89" s="27" t="s">
        <v>1079</v>
      </c>
      <c r="Q89" s="27" t="s">
        <v>1080</v>
      </c>
      <c r="R89" s="27" t="s">
        <v>1081</v>
      </c>
      <c r="S89" s="33">
        <v>45491.0</v>
      </c>
      <c r="T89" s="27" t="s">
        <v>415</v>
      </c>
      <c r="U89" s="27" t="s">
        <v>65</v>
      </c>
      <c r="V89" s="27" t="s">
        <v>570</v>
      </c>
      <c r="W89" s="27" t="s">
        <v>674</v>
      </c>
      <c r="X89" s="27" t="s">
        <v>561</v>
      </c>
      <c r="Y89" s="36">
        <v>11.24</v>
      </c>
      <c r="Z89" s="27" t="s">
        <v>419</v>
      </c>
      <c r="AA89" s="27" t="s">
        <v>943</v>
      </c>
      <c r="AB89" s="27" t="s">
        <v>72</v>
      </c>
      <c r="AC89" s="27" t="s">
        <v>160</v>
      </c>
      <c r="AD89" s="26">
        <v>2.0</v>
      </c>
      <c r="AE89" s="26">
        <v>3.0</v>
      </c>
    </row>
    <row r="90" ht="15.75" customHeight="1">
      <c r="A90" s="25" t="s">
        <v>1082</v>
      </c>
      <c r="B90" s="25" t="s">
        <v>1083</v>
      </c>
      <c r="C90" s="25" t="s">
        <v>637</v>
      </c>
      <c r="D90" s="25" t="s">
        <v>1084</v>
      </c>
      <c r="E90" s="25" t="s">
        <v>424</v>
      </c>
      <c r="F90" s="30">
        <v>33633.0</v>
      </c>
      <c r="G90" s="25" t="s">
        <v>409</v>
      </c>
      <c r="H90" s="31">
        <v>10.0</v>
      </c>
      <c r="I90" s="25" t="s">
        <v>53</v>
      </c>
      <c r="J90" s="25" t="s">
        <v>53</v>
      </c>
      <c r="K90" s="25" t="s">
        <v>938</v>
      </c>
      <c r="L90" s="25" t="s">
        <v>23</v>
      </c>
      <c r="M90" s="25" t="s">
        <v>192</v>
      </c>
      <c r="N90" s="25" t="s">
        <v>903</v>
      </c>
      <c r="O90" s="28" t="s">
        <v>1085</v>
      </c>
      <c r="P90" s="25" t="s">
        <v>1086</v>
      </c>
      <c r="Q90" s="25" t="s">
        <v>1087</v>
      </c>
      <c r="R90" s="25" t="s">
        <v>1088</v>
      </c>
      <c r="S90" s="30">
        <v>45567.0</v>
      </c>
      <c r="T90" s="25" t="s">
        <v>415</v>
      </c>
      <c r="U90" s="25" t="s">
        <v>65</v>
      </c>
      <c r="V90" s="25" t="s">
        <v>461</v>
      </c>
      <c r="W90" s="25" t="s">
        <v>522</v>
      </c>
      <c r="X90" s="25" t="s">
        <v>432</v>
      </c>
      <c r="Y90" s="32">
        <v>11.71</v>
      </c>
      <c r="Z90" s="25" t="s">
        <v>419</v>
      </c>
      <c r="AA90" s="25" t="s">
        <v>943</v>
      </c>
      <c r="AB90" s="25" t="s">
        <v>74</v>
      </c>
      <c r="AC90" s="25" t="s">
        <v>151</v>
      </c>
      <c r="AD90" s="24">
        <v>2.0</v>
      </c>
      <c r="AE90" s="24">
        <v>3.0</v>
      </c>
    </row>
    <row r="91" ht="15.75" customHeight="1">
      <c r="A91" s="27" t="s">
        <v>1089</v>
      </c>
      <c r="B91" s="27" t="s">
        <v>507</v>
      </c>
      <c r="C91" s="27" t="s">
        <v>554</v>
      </c>
      <c r="D91" s="27" t="s">
        <v>1090</v>
      </c>
      <c r="E91" s="27" t="s">
        <v>424</v>
      </c>
      <c r="F91" s="33">
        <v>34215.0</v>
      </c>
      <c r="G91" s="27" t="s">
        <v>527</v>
      </c>
      <c r="H91" s="34">
        <v>10.0</v>
      </c>
      <c r="I91" s="27" t="s">
        <v>53</v>
      </c>
      <c r="J91" s="27" t="s">
        <v>53</v>
      </c>
      <c r="K91" s="27" t="s">
        <v>938</v>
      </c>
      <c r="L91" s="27" t="s">
        <v>51</v>
      </c>
      <c r="M91" s="27" t="s">
        <v>192</v>
      </c>
      <c r="N91" s="27" t="s">
        <v>801</v>
      </c>
      <c r="O91" s="35" t="s">
        <v>1091</v>
      </c>
      <c r="P91" s="27" t="s">
        <v>1092</v>
      </c>
      <c r="Q91" s="27" t="s">
        <v>1093</v>
      </c>
      <c r="R91" s="27" t="s">
        <v>1094</v>
      </c>
      <c r="S91" s="33">
        <v>45436.0</v>
      </c>
      <c r="T91" s="27" t="s">
        <v>495</v>
      </c>
      <c r="U91" s="27" t="s">
        <v>65</v>
      </c>
      <c r="V91" s="27" t="s">
        <v>612</v>
      </c>
      <c r="W91" s="27" t="s">
        <v>417</v>
      </c>
      <c r="X91" s="27" t="s">
        <v>619</v>
      </c>
      <c r="Y91" s="36">
        <v>16.85</v>
      </c>
      <c r="Z91" s="27" t="s">
        <v>419</v>
      </c>
      <c r="AA91" s="27" t="s">
        <v>943</v>
      </c>
      <c r="AB91" s="27" t="s">
        <v>72</v>
      </c>
      <c r="AC91" s="27" t="s">
        <v>168</v>
      </c>
      <c r="AD91" s="26">
        <v>2.0</v>
      </c>
      <c r="AE91" s="26">
        <v>6.0</v>
      </c>
    </row>
    <row r="92" ht="15.75" customHeight="1">
      <c r="A92" s="25" t="s">
        <v>1095</v>
      </c>
      <c r="B92" s="25" t="s">
        <v>1096</v>
      </c>
      <c r="C92" s="25" t="s">
        <v>546</v>
      </c>
      <c r="D92" s="25" t="s">
        <v>1097</v>
      </c>
      <c r="E92" s="25" t="s">
        <v>408</v>
      </c>
      <c r="F92" s="30">
        <v>33097.0</v>
      </c>
      <c r="G92" s="25" t="s">
        <v>409</v>
      </c>
      <c r="H92" s="31">
        <v>10.0</v>
      </c>
      <c r="I92" s="25" t="s">
        <v>53</v>
      </c>
      <c r="J92" s="25" t="s">
        <v>53</v>
      </c>
      <c r="K92" s="25" t="s">
        <v>938</v>
      </c>
      <c r="L92" s="25" t="s">
        <v>39</v>
      </c>
      <c r="M92" s="25" t="s">
        <v>205</v>
      </c>
      <c r="N92" s="25" t="s">
        <v>883</v>
      </c>
      <c r="O92" s="28" t="s">
        <v>1098</v>
      </c>
      <c r="P92" s="25" t="s">
        <v>1099</v>
      </c>
      <c r="Q92" s="25" t="s">
        <v>1100</v>
      </c>
      <c r="R92" s="25" t="s">
        <v>1101</v>
      </c>
      <c r="S92" s="30">
        <v>44888.0</v>
      </c>
      <c r="T92" s="25" t="s">
        <v>415</v>
      </c>
      <c r="U92" s="25" t="s">
        <v>65</v>
      </c>
      <c r="V92" s="25" t="s">
        <v>596</v>
      </c>
      <c r="W92" s="25" t="s">
        <v>580</v>
      </c>
      <c r="X92" s="25" t="s">
        <v>561</v>
      </c>
      <c r="Y92" s="32">
        <v>13.19</v>
      </c>
      <c r="Z92" s="25" t="s">
        <v>419</v>
      </c>
      <c r="AA92" s="25" t="s">
        <v>943</v>
      </c>
      <c r="AB92" s="25" t="s">
        <v>72</v>
      </c>
      <c r="AC92" s="25" t="s">
        <v>163</v>
      </c>
      <c r="AD92" s="24">
        <v>3.0</v>
      </c>
      <c r="AE92" s="24">
        <v>6.0</v>
      </c>
    </row>
    <row r="93" ht="15.75" customHeight="1">
      <c r="A93" s="27" t="s">
        <v>1102</v>
      </c>
      <c r="B93" s="27" t="s">
        <v>1103</v>
      </c>
      <c r="C93" s="27" t="s">
        <v>422</v>
      </c>
      <c r="D93" s="27" t="s">
        <v>1104</v>
      </c>
      <c r="E93" s="27" t="s">
        <v>424</v>
      </c>
      <c r="F93" s="33">
        <v>36571.0</v>
      </c>
      <c r="G93" s="27" t="s">
        <v>409</v>
      </c>
      <c r="H93" s="34">
        <v>11.0</v>
      </c>
      <c r="I93" s="27" t="s">
        <v>57</v>
      </c>
      <c r="J93" s="27" t="s">
        <v>57</v>
      </c>
      <c r="K93" s="27" t="s">
        <v>1105</v>
      </c>
      <c r="L93" s="27" t="s">
        <v>39</v>
      </c>
      <c r="M93" s="27" t="s">
        <v>183</v>
      </c>
      <c r="N93" s="27" t="s">
        <v>890</v>
      </c>
      <c r="O93" s="35" t="s">
        <v>1106</v>
      </c>
      <c r="P93" s="27" t="s">
        <v>1107</v>
      </c>
      <c r="Q93" s="27" t="s">
        <v>1108</v>
      </c>
      <c r="R93" s="27" t="s">
        <v>1109</v>
      </c>
      <c r="S93" s="33">
        <v>45518.0</v>
      </c>
      <c r="T93" s="27" t="s">
        <v>415</v>
      </c>
      <c r="U93" s="27" t="s">
        <v>65</v>
      </c>
      <c r="V93" s="27" t="s">
        <v>570</v>
      </c>
      <c r="W93" s="27" t="s">
        <v>674</v>
      </c>
      <c r="X93" s="27" t="s">
        <v>474</v>
      </c>
      <c r="Y93" s="36">
        <v>8.47</v>
      </c>
      <c r="Z93" s="27" t="s">
        <v>419</v>
      </c>
      <c r="AA93" s="27" t="s">
        <v>943</v>
      </c>
      <c r="AB93" s="27" t="s">
        <v>72</v>
      </c>
      <c r="AC93" s="27" t="s">
        <v>163</v>
      </c>
      <c r="AD93" s="26">
        <v>2.0</v>
      </c>
      <c r="AE93" s="26">
        <v>1.0</v>
      </c>
    </row>
    <row r="94" ht="15.75" customHeight="1">
      <c r="A94" s="25" t="s">
        <v>1110</v>
      </c>
      <c r="B94" s="25" t="s">
        <v>856</v>
      </c>
      <c r="C94" s="25" t="s">
        <v>546</v>
      </c>
      <c r="D94" s="25" t="s">
        <v>1111</v>
      </c>
      <c r="E94" s="25" t="s">
        <v>424</v>
      </c>
      <c r="F94" s="30">
        <v>36853.0</v>
      </c>
      <c r="G94" s="25" t="s">
        <v>409</v>
      </c>
      <c r="H94" s="31">
        <v>11.0</v>
      </c>
      <c r="I94" s="25" t="s">
        <v>57</v>
      </c>
      <c r="J94" s="25" t="s">
        <v>57</v>
      </c>
      <c r="K94" s="25" t="s">
        <v>1105</v>
      </c>
      <c r="L94" s="25" t="s">
        <v>31</v>
      </c>
      <c r="M94" s="25" t="s">
        <v>205</v>
      </c>
      <c r="N94" s="25" t="s">
        <v>837</v>
      </c>
      <c r="O94" s="28" t="s">
        <v>1112</v>
      </c>
      <c r="P94" s="25" t="s">
        <v>1113</v>
      </c>
      <c r="Q94" s="25" t="s">
        <v>1114</v>
      </c>
      <c r="R94" s="25" t="s">
        <v>1115</v>
      </c>
      <c r="S94" s="30">
        <v>45219.0</v>
      </c>
      <c r="T94" s="25" t="s">
        <v>415</v>
      </c>
      <c r="U94" s="25" t="s">
        <v>65</v>
      </c>
      <c r="V94" s="25" t="s">
        <v>596</v>
      </c>
      <c r="W94" s="25" t="s">
        <v>728</v>
      </c>
      <c r="X94" s="25" t="s">
        <v>432</v>
      </c>
      <c r="Y94" s="32">
        <v>9.23</v>
      </c>
      <c r="Z94" s="25" t="s">
        <v>419</v>
      </c>
      <c r="AA94" s="25" t="s">
        <v>943</v>
      </c>
      <c r="AB94" s="25" t="s">
        <v>72</v>
      </c>
      <c r="AC94" s="25" t="s">
        <v>157</v>
      </c>
      <c r="AD94" s="24">
        <v>2.0</v>
      </c>
      <c r="AE94" s="24">
        <v>4.0</v>
      </c>
    </row>
    <row r="95" ht="15.75" customHeight="1">
      <c r="A95" s="27" t="s">
        <v>1116</v>
      </c>
      <c r="B95" s="27" t="s">
        <v>713</v>
      </c>
      <c r="C95" s="27" t="s">
        <v>406</v>
      </c>
      <c r="D95" s="27" t="s">
        <v>1117</v>
      </c>
      <c r="E95" s="27" t="s">
        <v>424</v>
      </c>
      <c r="F95" s="33">
        <v>36619.0</v>
      </c>
      <c r="G95" s="27" t="s">
        <v>409</v>
      </c>
      <c r="H95" s="34">
        <v>11.0</v>
      </c>
      <c r="I95" s="27" t="s">
        <v>57</v>
      </c>
      <c r="J95" s="27" t="s">
        <v>57</v>
      </c>
      <c r="K95" s="27" t="s">
        <v>1105</v>
      </c>
      <c r="L95" s="27" t="s">
        <v>55</v>
      </c>
      <c r="M95" s="27" t="s">
        <v>188</v>
      </c>
      <c r="N95" s="27" t="s">
        <v>875</v>
      </c>
      <c r="O95" s="35" t="s">
        <v>1118</v>
      </c>
      <c r="P95" s="27" t="s">
        <v>1119</v>
      </c>
      <c r="Q95" s="27" t="s">
        <v>1120</v>
      </c>
      <c r="R95" s="27" t="s">
        <v>1121</v>
      </c>
      <c r="S95" s="33">
        <v>45058.0</v>
      </c>
      <c r="T95" s="27" t="s">
        <v>495</v>
      </c>
      <c r="U95" s="27" t="s">
        <v>65</v>
      </c>
      <c r="V95" s="27" t="s">
        <v>441</v>
      </c>
      <c r="W95" s="27" t="s">
        <v>462</v>
      </c>
      <c r="X95" s="27" t="s">
        <v>486</v>
      </c>
      <c r="Y95" s="36">
        <v>7.15</v>
      </c>
      <c r="Z95" s="27" t="s">
        <v>419</v>
      </c>
      <c r="AA95" s="27" t="s">
        <v>943</v>
      </c>
      <c r="AB95" s="27" t="s">
        <v>74</v>
      </c>
      <c r="AC95" s="27" t="s">
        <v>169</v>
      </c>
      <c r="AD95" s="26">
        <v>2.0</v>
      </c>
      <c r="AE95" s="26">
        <v>4.0</v>
      </c>
    </row>
    <row r="96" ht="15.75" customHeight="1">
      <c r="A96" s="25" t="s">
        <v>1122</v>
      </c>
      <c r="B96" s="25" t="s">
        <v>751</v>
      </c>
      <c r="C96" s="25" t="s">
        <v>546</v>
      </c>
      <c r="D96" s="25" t="s">
        <v>1123</v>
      </c>
      <c r="E96" s="25" t="s">
        <v>424</v>
      </c>
      <c r="F96" s="30">
        <v>36897.0</v>
      </c>
      <c r="G96" s="25" t="s">
        <v>409</v>
      </c>
      <c r="H96" s="31">
        <v>11.0</v>
      </c>
      <c r="I96" s="25" t="s">
        <v>57</v>
      </c>
      <c r="J96" s="25" t="s">
        <v>57</v>
      </c>
      <c r="K96" s="25" t="s">
        <v>1105</v>
      </c>
      <c r="L96" s="25" t="s">
        <v>55</v>
      </c>
      <c r="M96" s="25" t="s">
        <v>183</v>
      </c>
      <c r="N96" s="25" t="s">
        <v>843</v>
      </c>
      <c r="O96" s="28" t="s">
        <v>1124</v>
      </c>
      <c r="P96" s="25" t="s">
        <v>1125</v>
      </c>
      <c r="Q96" s="25" t="s">
        <v>1126</v>
      </c>
      <c r="R96" s="25" t="s">
        <v>1127</v>
      </c>
      <c r="S96" s="30">
        <v>45262.0</v>
      </c>
      <c r="T96" s="25" t="s">
        <v>495</v>
      </c>
      <c r="U96" s="25" t="s">
        <v>65</v>
      </c>
      <c r="V96" s="25" t="s">
        <v>596</v>
      </c>
      <c r="W96" s="25" t="s">
        <v>697</v>
      </c>
      <c r="X96" s="25" t="s">
        <v>474</v>
      </c>
      <c r="Y96" s="32">
        <v>8.69</v>
      </c>
      <c r="Z96" s="25" t="s">
        <v>419</v>
      </c>
      <c r="AA96" s="25" t="s">
        <v>943</v>
      </c>
      <c r="AB96" s="25" t="s">
        <v>76</v>
      </c>
      <c r="AC96" s="25" t="s">
        <v>169</v>
      </c>
      <c r="AD96" s="24">
        <v>2.0</v>
      </c>
      <c r="AE96" s="24">
        <v>3.0</v>
      </c>
    </row>
    <row r="97" ht="15.75" customHeight="1">
      <c r="A97" s="27" t="s">
        <v>1128</v>
      </c>
      <c r="B97" s="27" t="s">
        <v>1012</v>
      </c>
      <c r="C97" s="27" t="s">
        <v>788</v>
      </c>
      <c r="D97" s="27" t="s">
        <v>1129</v>
      </c>
      <c r="E97" s="27" t="s">
        <v>424</v>
      </c>
      <c r="F97" s="33">
        <v>35629.0</v>
      </c>
      <c r="G97" s="27" t="s">
        <v>527</v>
      </c>
      <c r="H97" s="34">
        <v>11.0</v>
      </c>
      <c r="I97" s="27" t="s">
        <v>57</v>
      </c>
      <c r="J97" s="27" t="s">
        <v>57</v>
      </c>
      <c r="K97" s="27" t="s">
        <v>1105</v>
      </c>
      <c r="L97" s="27" t="s">
        <v>35</v>
      </c>
      <c r="M97" s="27" t="s">
        <v>192</v>
      </c>
      <c r="N97" s="27" t="s">
        <v>837</v>
      </c>
      <c r="O97" s="35" t="s">
        <v>1130</v>
      </c>
      <c r="P97" s="27" t="s">
        <v>1131</v>
      </c>
      <c r="Q97" s="27" t="s">
        <v>1132</v>
      </c>
      <c r="R97" s="27" t="s">
        <v>1133</v>
      </c>
      <c r="S97" s="33">
        <v>45631.0</v>
      </c>
      <c r="T97" s="27" t="s">
        <v>495</v>
      </c>
      <c r="U97" s="27" t="s">
        <v>65</v>
      </c>
      <c r="V97" s="27" t="s">
        <v>560</v>
      </c>
      <c r="W97" s="27" t="s">
        <v>431</v>
      </c>
      <c r="X97" s="27" t="s">
        <v>463</v>
      </c>
      <c r="Y97" s="36">
        <v>10.62</v>
      </c>
      <c r="Z97" s="27" t="s">
        <v>419</v>
      </c>
      <c r="AA97" s="27" t="s">
        <v>943</v>
      </c>
      <c r="AB97" s="27" t="s">
        <v>74</v>
      </c>
      <c r="AC97" s="27" t="s">
        <v>160</v>
      </c>
      <c r="AD97" s="26">
        <v>2.0</v>
      </c>
      <c r="AE97" s="26">
        <v>2.0</v>
      </c>
    </row>
    <row r="98" ht="15.75" customHeight="1">
      <c r="A98" s="25" t="s">
        <v>1134</v>
      </c>
      <c r="B98" s="25" t="s">
        <v>1135</v>
      </c>
      <c r="C98" s="25" t="s">
        <v>564</v>
      </c>
      <c r="D98" s="25" t="s">
        <v>1136</v>
      </c>
      <c r="E98" s="25" t="s">
        <v>408</v>
      </c>
      <c r="F98" s="30">
        <v>34020.0</v>
      </c>
      <c r="G98" s="25" t="s">
        <v>409</v>
      </c>
      <c r="H98" s="31">
        <v>11.0</v>
      </c>
      <c r="I98" s="25" t="s">
        <v>57</v>
      </c>
      <c r="J98" s="25" t="s">
        <v>57</v>
      </c>
      <c r="K98" s="25" t="s">
        <v>1105</v>
      </c>
      <c r="L98" s="25" t="s">
        <v>23</v>
      </c>
      <c r="M98" s="25" t="s">
        <v>183</v>
      </c>
      <c r="N98" s="25" t="s">
        <v>855</v>
      </c>
      <c r="O98" s="28" t="s">
        <v>1137</v>
      </c>
      <c r="P98" s="25" t="s">
        <v>1138</v>
      </c>
      <c r="Q98" s="25" t="s">
        <v>1139</v>
      </c>
      <c r="R98" s="25" t="s">
        <v>1140</v>
      </c>
      <c r="S98" s="30">
        <v>45378.0</v>
      </c>
      <c r="T98" s="25" t="s">
        <v>415</v>
      </c>
      <c r="U98" s="25" t="s">
        <v>65</v>
      </c>
      <c r="V98" s="25" t="s">
        <v>612</v>
      </c>
      <c r="W98" s="25" t="s">
        <v>496</v>
      </c>
      <c r="X98" s="25" t="s">
        <v>486</v>
      </c>
      <c r="Y98" s="32">
        <v>9.77</v>
      </c>
      <c r="Z98" s="25" t="s">
        <v>419</v>
      </c>
      <c r="AA98" s="25" t="s">
        <v>943</v>
      </c>
      <c r="AB98" s="25" t="s">
        <v>76</v>
      </c>
      <c r="AC98" s="25" t="s">
        <v>151</v>
      </c>
      <c r="AD98" s="24">
        <v>2.0</v>
      </c>
      <c r="AE98" s="24">
        <v>4.0</v>
      </c>
    </row>
    <row r="99" ht="15.75" customHeight="1">
      <c r="A99" s="27" t="s">
        <v>1141</v>
      </c>
      <c r="B99" s="27" t="s">
        <v>699</v>
      </c>
      <c r="C99" s="27" t="s">
        <v>731</v>
      </c>
      <c r="D99" s="27" t="s">
        <v>1142</v>
      </c>
      <c r="E99" s="27" t="s">
        <v>424</v>
      </c>
      <c r="F99" s="33">
        <v>35121.0</v>
      </c>
      <c r="G99" s="27" t="s">
        <v>409</v>
      </c>
      <c r="H99" s="34">
        <v>11.0</v>
      </c>
      <c r="I99" s="27" t="s">
        <v>57</v>
      </c>
      <c r="J99" s="27" t="s">
        <v>57</v>
      </c>
      <c r="K99" s="27" t="s">
        <v>1105</v>
      </c>
      <c r="L99" s="27" t="s">
        <v>23</v>
      </c>
      <c r="M99" s="27" t="s">
        <v>200</v>
      </c>
      <c r="N99" s="27" t="s">
        <v>855</v>
      </c>
      <c r="O99" s="35" t="s">
        <v>1143</v>
      </c>
      <c r="P99" s="27" t="s">
        <v>1144</v>
      </c>
      <c r="Q99" s="27" t="s">
        <v>1145</v>
      </c>
      <c r="R99" s="27" t="s">
        <v>1146</v>
      </c>
      <c r="S99" s="33">
        <v>45486.0</v>
      </c>
      <c r="T99" s="27" t="s">
        <v>415</v>
      </c>
      <c r="U99" s="27" t="s">
        <v>65</v>
      </c>
      <c r="V99" s="27" t="s">
        <v>612</v>
      </c>
      <c r="W99" s="27" t="s">
        <v>728</v>
      </c>
      <c r="X99" s="27" t="s">
        <v>418</v>
      </c>
      <c r="Y99" s="36">
        <v>9.87</v>
      </c>
      <c r="Z99" s="27" t="s">
        <v>419</v>
      </c>
      <c r="AA99" s="27" t="s">
        <v>943</v>
      </c>
      <c r="AB99" s="27" t="s">
        <v>76</v>
      </c>
      <c r="AC99" s="27" t="s">
        <v>151</v>
      </c>
      <c r="AD99" s="26">
        <v>2.0</v>
      </c>
      <c r="AE99" s="26">
        <v>4.0</v>
      </c>
    </row>
    <row r="100" ht="15.75" customHeight="1">
      <c r="A100" s="25" t="s">
        <v>1147</v>
      </c>
      <c r="B100" s="25" t="s">
        <v>1148</v>
      </c>
      <c r="C100" s="25" t="s">
        <v>877</v>
      </c>
      <c r="D100" s="25" t="s">
        <v>1149</v>
      </c>
      <c r="E100" s="25" t="s">
        <v>424</v>
      </c>
      <c r="F100" s="30">
        <v>35534.0</v>
      </c>
      <c r="G100" s="25" t="s">
        <v>409</v>
      </c>
      <c r="H100" s="31">
        <v>11.0</v>
      </c>
      <c r="I100" s="25" t="s">
        <v>57</v>
      </c>
      <c r="J100" s="25" t="s">
        <v>57</v>
      </c>
      <c r="K100" s="25" t="s">
        <v>1105</v>
      </c>
      <c r="L100" s="25" t="s">
        <v>19</v>
      </c>
      <c r="M100" s="25" t="s">
        <v>196</v>
      </c>
      <c r="N100" s="25" t="s">
        <v>897</v>
      </c>
      <c r="O100" s="28" t="s">
        <v>1150</v>
      </c>
      <c r="P100" s="25" t="s">
        <v>1151</v>
      </c>
      <c r="Q100" s="25" t="s">
        <v>1152</v>
      </c>
      <c r="R100" s="25" t="s">
        <v>1153</v>
      </c>
      <c r="S100" s="30">
        <v>45221.0</v>
      </c>
      <c r="T100" s="25" t="s">
        <v>415</v>
      </c>
      <c r="U100" s="25" t="s">
        <v>65</v>
      </c>
      <c r="V100" s="25" t="s">
        <v>596</v>
      </c>
      <c r="W100" s="25" t="s">
        <v>473</v>
      </c>
      <c r="X100" s="25" t="s">
        <v>561</v>
      </c>
      <c r="Y100" s="32">
        <v>12.18</v>
      </c>
      <c r="Z100" s="25" t="s">
        <v>419</v>
      </c>
      <c r="AA100" s="25" t="s">
        <v>943</v>
      </c>
      <c r="AB100" s="25" t="s">
        <v>72</v>
      </c>
      <c r="AC100" s="25" t="s">
        <v>149</v>
      </c>
      <c r="AD100" s="24">
        <v>2.0</v>
      </c>
      <c r="AE100" s="24">
        <v>4.0</v>
      </c>
    </row>
    <row r="101" ht="15.75" customHeight="1">
      <c r="A101" s="27" t="s">
        <v>1154</v>
      </c>
      <c r="B101" s="27" t="s">
        <v>772</v>
      </c>
      <c r="C101" s="27" t="s">
        <v>508</v>
      </c>
      <c r="D101" s="27" t="s">
        <v>1155</v>
      </c>
      <c r="E101" s="27" t="s">
        <v>408</v>
      </c>
      <c r="F101" s="33">
        <v>34349.0</v>
      </c>
      <c r="G101" s="27" t="s">
        <v>409</v>
      </c>
      <c r="H101" s="34">
        <v>11.0</v>
      </c>
      <c r="I101" s="27" t="s">
        <v>57</v>
      </c>
      <c r="J101" s="27" t="s">
        <v>57</v>
      </c>
      <c r="K101" s="27" t="s">
        <v>1105</v>
      </c>
      <c r="L101" s="27" t="s">
        <v>19</v>
      </c>
      <c r="M101" s="27" t="s">
        <v>196</v>
      </c>
      <c r="N101" s="27" t="s">
        <v>830</v>
      </c>
      <c r="O101" s="35" t="s">
        <v>1156</v>
      </c>
      <c r="P101" s="27" t="s">
        <v>1157</v>
      </c>
      <c r="Q101" s="27" t="s">
        <v>1158</v>
      </c>
      <c r="R101" s="27" t="s">
        <v>1159</v>
      </c>
      <c r="S101" s="33">
        <v>45067.0</v>
      </c>
      <c r="T101" s="27" t="s">
        <v>415</v>
      </c>
      <c r="U101" s="27" t="s">
        <v>65</v>
      </c>
      <c r="V101" s="27" t="s">
        <v>570</v>
      </c>
      <c r="W101" s="27" t="s">
        <v>462</v>
      </c>
      <c r="X101" s="27" t="s">
        <v>474</v>
      </c>
      <c r="Y101" s="36">
        <v>11.1</v>
      </c>
      <c r="Z101" s="27" t="s">
        <v>419</v>
      </c>
      <c r="AA101" s="27" t="s">
        <v>943</v>
      </c>
      <c r="AB101" s="27" t="s">
        <v>72</v>
      </c>
      <c r="AC101" s="27" t="s">
        <v>149</v>
      </c>
      <c r="AD101" s="26">
        <v>2.0</v>
      </c>
      <c r="AE101" s="26">
        <v>2.0</v>
      </c>
    </row>
    <row r="102" ht="15.75" customHeight="1">
      <c r="A102" s="25" t="s">
        <v>1160</v>
      </c>
      <c r="B102" s="25" t="s">
        <v>1148</v>
      </c>
      <c r="C102" s="25" t="s">
        <v>1161</v>
      </c>
      <c r="D102" s="25" t="s">
        <v>1162</v>
      </c>
      <c r="E102" s="25" t="s">
        <v>424</v>
      </c>
      <c r="F102" s="30">
        <v>35903.0</v>
      </c>
      <c r="G102" s="25" t="s">
        <v>409</v>
      </c>
      <c r="H102" s="31">
        <v>11.0</v>
      </c>
      <c r="I102" s="25" t="s">
        <v>57</v>
      </c>
      <c r="J102" s="25" t="s">
        <v>57</v>
      </c>
      <c r="K102" s="25" t="s">
        <v>1105</v>
      </c>
      <c r="L102" s="25" t="s">
        <v>23</v>
      </c>
      <c r="M102" s="25" t="s">
        <v>196</v>
      </c>
      <c r="N102" s="25" t="s">
        <v>808</v>
      </c>
      <c r="O102" s="28" t="s">
        <v>1163</v>
      </c>
      <c r="P102" s="25" t="s">
        <v>1164</v>
      </c>
      <c r="Q102" s="25" t="s">
        <v>1165</v>
      </c>
      <c r="R102" s="25" t="s">
        <v>1166</v>
      </c>
      <c r="S102" s="30">
        <v>45221.0</v>
      </c>
      <c r="T102" s="25" t="s">
        <v>415</v>
      </c>
      <c r="U102" s="25" t="s">
        <v>65</v>
      </c>
      <c r="V102" s="25" t="s">
        <v>441</v>
      </c>
      <c r="W102" s="25" t="s">
        <v>431</v>
      </c>
      <c r="X102" s="25" t="s">
        <v>619</v>
      </c>
      <c r="Y102" s="32">
        <v>11.78</v>
      </c>
      <c r="Z102" s="25" t="s">
        <v>419</v>
      </c>
      <c r="AA102" s="25" t="s">
        <v>943</v>
      </c>
      <c r="AB102" s="25" t="s">
        <v>76</v>
      </c>
      <c r="AC102" s="25" t="s">
        <v>151</v>
      </c>
      <c r="AD102" s="24">
        <v>2.0</v>
      </c>
      <c r="AE102" s="24">
        <v>2.0</v>
      </c>
    </row>
    <row r="103" ht="15.75" customHeight="1">
      <c r="A103" s="27" t="s">
        <v>1167</v>
      </c>
      <c r="B103" s="27" t="s">
        <v>1050</v>
      </c>
      <c r="C103" s="27" t="s">
        <v>1168</v>
      </c>
      <c r="D103" s="27" t="s">
        <v>1169</v>
      </c>
      <c r="E103" s="27" t="s">
        <v>424</v>
      </c>
      <c r="F103" s="33">
        <v>34461.0</v>
      </c>
      <c r="G103" s="27" t="s">
        <v>409</v>
      </c>
      <c r="H103" s="34">
        <v>11.0</v>
      </c>
      <c r="I103" s="27" t="s">
        <v>57</v>
      </c>
      <c r="J103" s="27" t="s">
        <v>57</v>
      </c>
      <c r="K103" s="27" t="s">
        <v>1105</v>
      </c>
      <c r="L103" s="27" t="s">
        <v>23</v>
      </c>
      <c r="M103" s="27" t="s">
        <v>220</v>
      </c>
      <c r="N103" s="27" t="s">
        <v>928</v>
      </c>
      <c r="O103" s="35" t="s">
        <v>1170</v>
      </c>
      <c r="P103" s="27" t="s">
        <v>1171</v>
      </c>
      <c r="Q103" s="27" t="s">
        <v>1172</v>
      </c>
      <c r="R103" s="27" t="s">
        <v>1173</v>
      </c>
      <c r="S103" s="33">
        <v>45270.0</v>
      </c>
      <c r="T103" s="27" t="s">
        <v>415</v>
      </c>
      <c r="U103" s="27" t="s">
        <v>65</v>
      </c>
      <c r="V103" s="27" t="s">
        <v>461</v>
      </c>
      <c r="W103" s="27" t="s">
        <v>442</v>
      </c>
      <c r="X103" s="27" t="s">
        <v>463</v>
      </c>
      <c r="Y103" s="36">
        <v>10.03</v>
      </c>
      <c r="Z103" s="27" t="s">
        <v>419</v>
      </c>
      <c r="AA103" s="27" t="s">
        <v>943</v>
      </c>
      <c r="AB103" s="27" t="s">
        <v>72</v>
      </c>
      <c r="AC103" s="27" t="s">
        <v>151</v>
      </c>
      <c r="AD103" s="26">
        <v>2.0</v>
      </c>
      <c r="AE103" s="26">
        <v>1.0</v>
      </c>
    </row>
    <row r="104" ht="15.75" customHeight="1">
      <c r="A104" s="25" t="s">
        <v>1174</v>
      </c>
      <c r="B104" s="25" t="s">
        <v>992</v>
      </c>
      <c r="C104" s="25" t="s">
        <v>554</v>
      </c>
      <c r="D104" s="25" t="s">
        <v>1175</v>
      </c>
      <c r="E104" s="25" t="s">
        <v>424</v>
      </c>
      <c r="F104" s="30">
        <v>36001.0</v>
      </c>
      <c r="G104" s="25" t="s">
        <v>409</v>
      </c>
      <c r="H104" s="31">
        <v>11.0</v>
      </c>
      <c r="I104" s="25" t="s">
        <v>57</v>
      </c>
      <c r="J104" s="25" t="s">
        <v>57</v>
      </c>
      <c r="K104" s="25" t="s">
        <v>1105</v>
      </c>
      <c r="L104" s="25" t="s">
        <v>35</v>
      </c>
      <c r="M104" s="25" t="s">
        <v>192</v>
      </c>
      <c r="N104" s="25" t="s">
        <v>928</v>
      </c>
      <c r="O104" s="28" t="s">
        <v>1176</v>
      </c>
      <c r="P104" s="25" t="s">
        <v>1177</v>
      </c>
      <c r="Q104" s="25" t="s">
        <v>1178</v>
      </c>
      <c r="R104" s="25" t="s">
        <v>1179</v>
      </c>
      <c r="S104" s="30">
        <v>45106.0</v>
      </c>
      <c r="T104" s="25" t="s">
        <v>415</v>
      </c>
      <c r="U104" s="25" t="s">
        <v>65</v>
      </c>
      <c r="V104" s="25" t="s">
        <v>596</v>
      </c>
      <c r="W104" s="25" t="s">
        <v>442</v>
      </c>
      <c r="X104" s="25" t="s">
        <v>543</v>
      </c>
      <c r="Y104" s="32">
        <v>11.35</v>
      </c>
      <c r="Z104" s="25" t="s">
        <v>419</v>
      </c>
      <c r="AA104" s="25" t="s">
        <v>943</v>
      </c>
      <c r="AB104" s="25" t="s">
        <v>72</v>
      </c>
      <c r="AC104" s="25" t="s">
        <v>160</v>
      </c>
      <c r="AD104" s="24">
        <v>2.0</v>
      </c>
      <c r="AE104" s="24">
        <v>2.0</v>
      </c>
    </row>
    <row r="105" ht="15.75" customHeight="1">
      <c r="A105" s="27" t="s">
        <v>1180</v>
      </c>
      <c r="B105" s="27" t="s">
        <v>1181</v>
      </c>
      <c r="C105" s="27" t="s">
        <v>714</v>
      </c>
      <c r="D105" s="27" t="s">
        <v>1182</v>
      </c>
      <c r="E105" s="27" t="s">
        <v>424</v>
      </c>
      <c r="F105" s="33">
        <v>34475.0</v>
      </c>
      <c r="G105" s="27" t="s">
        <v>409</v>
      </c>
      <c r="H105" s="34">
        <v>11.0</v>
      </c>
      <c r="I105" s="27" t="s">
        <v>57</v>
      </c>
      <c r="J105" s="27" t="s">
        <v>57</v>
      </c>
      <c r="K105" s="27" t="s">
        <v>1105</v>
      </c>
      <c r="L105" s="27" t="s">
        <v>35</v>
      </c>
      <c r="M105" s="27" t="s">
        <v>196</v>
      </c>
      <c r="N105" s="27" t="s">
        <v>928</v>
      </c>
      <c r="O105" s="35" t="s">
        <v>1183</v>
      </c>
      <c r="P105" s="27" t="s">
        <v>1184</v>
      </c>
      <c r="Q105" s="27" t="s">
        <v>1185</v>
      </c>
      <c r="R105" s="27" t="s">
        <v>1186</v>
      </c>
      <c r="S105" s="33">
        <v>45194.0</v>
      </c>
      <c r="T105" s="27" t="s">
        <v>415</v>
      </c>
      <c r="U105" s="27" t="s">
        <v>65</v>
      </c>
      <c r="V105" s="27" t="s">
        <v>533</v>
      </c>
      <c r="W105" s="27" t="s">
        <v>728</v>
      </c>
      <c r="X105" s="27" t="s">
        <v>486</v>
      </c>
      <c r="Y105" s="36">
        <v>11.49</v>
      </c>
      <c r="Z105" s="27" t="s">
        <v>419</v>
      </c>
      <c r="AA105" s="27" t="s">
        <v>943</v>
      </c>
      <c r="AB105" s="27" t="s">
        <v>76</v>
      </c>
      <c r="AC105" s="27" t="s">
        <v>160</v>
      </c>
      <c r="AD105" s="26">
        <v>2.0</v>
      </c>
      <c r="AE105" s="26">
        <v>2.0</v>
      </c>
    </row>
    <row r="106" ht="15.75" customHeight="1">
      <c r="A106" s="25" t="s">
        <v>1187</v>
      </c>
      <c r="B106" s="25" t="s">
        <v>869</v>
      </c>
      <c r="C106" s="25" t="s">
        <v>1161</v>
      </c>
      <c r="D106" s="25" t="s">
        <v>1188</v>
      </c>
      <c r="E106" s="25" t="s">
        <v>408</v>
      </c>
      <c r="F106" s="30">
        <v>33866.0</v>
      </c>
      <c r="G106" s="25" t="s">
        <v>527</v>
      </c>
      <c r="H106" s="31">
        <v>11.0</v>
      </c>
      <c r="I106" s="25" t="s">
        <v>57</v>
      </c>
      <c r="J106" s="25" t="s">
        <v>57</v>
      </c>
      <c r="K106" s="25" t="s">
        <v>1105</v>
      </c>
      <c r="L106" s="25" t="s">
        <v>23</v>
      </c>
      <c r="M106" s="25" t="s">
        <v>196</v>
      </c>
      <c r="N106" s="25" t="s">
        <v>849</v>
      </c>
      <c r="O106" s="28" t="s">
        <v>1189</v>
      </c>
      <c r="P106" s="25" t="s">
        <v>1190</v>
      </c>
      <c r="Q106" s="25" t="s">
        <v>1191</v>
      </c>
      <c r="R106" s="25" t="s">
        <v>1192</v>
      </c>
      <c r="S106" s="30">
        <v>45547.0</v>
      </c>
      <c r="T106" s="25" t="s">
        <v>415</v>
      </c>
      <c r="U106" s="25" t="s">
        <v>65</v>
      </c>
      <c r="V106" s="25" t="s">
        <v>596</v>
      </c>
      <c r="W106" s="25" t="s">
        <v>674</v>
      </c>
      <c r="X106" s="25" t="s">
        <v>432</v>
      </c>
      <c r="Y106" s="32">
        <v>12.09</v>
      </c>
      <c r="Z106" s="25" t="s">
        <v>419</v>
      </c>
      <c r="AA106" s="25" t="s">
        <v>943</v>
      </c>
      <c r="AB106" s="25" t="s">
        <v>74</v>
      </c>
      <c r="AC106" s="25" t="s">
        <v>151</v>
      </c>
      <c r="AD106" s="24">
        <v>2.0</v>
      </c>
      <c r="AE106" s="24">
        <v>1.0</v>
      </c>
    </row>
    <row r="107" ht="15.75" customHeight="1">
      <c r="A107" s="27" t="s">
        <v>1193</v>
      </c>
      <c r="B107" s="27" t="s">
        <v>1194</v>
      </c>
      <c r="C107" s="27" t="s">
        <v>622</v>
      </c>
      <c r="D107" s="27" t="s">
        <v>1195</v>
      </c>
      <c r="E107" s="27" t="s">
        <v>408</v>
      </c>
      <c r="F107" s="33">
        <v>34067.0</v>
      </c>
      <c r="G107" s="27" t="s">
        <v>409</v>
      </c>
      <c r="H107" s="34">
        <v>11.0</v>
      </c>
      <c r="I107" s="27" t="s">
        <v>57</v>
      </c>
      <c r="J107" s="27" t="s">
        <v>57</v>
      </c>
      <c r="K107" s="27" t="s">
        <v>1105</v>
      </c>
      <c r="L107" s="27" t="s">
        <v>23</v>
      </c>
      <c r="M107" s="27" t="s">
        <v>192</v>
      </c>
      <c r="N107" s="27" t="s">
        <v>862</v>
      </c>
      <c r="O107" s="35" t="s">
        <v>1196</v>
      </c>
      <c r="P107" s="27" t="s">
        <v>1197</v>
      </c>
      <c r="Q107" s="27" t="s">
        <v>1198</v>
      </c>
      <c r="R107" s="27" t="s">
        <v>1199</v>
      </c>
      <c r="S107" s="33">
        <v>45095.0</v>
      </c>
      <c r="T107" s="27" t="s">
        <v>415</v>
      </c>
      <c r="U107" s="27" t="s">
        <v>65</v>
      </c>
      <c r="V107" s="27" t="s">
        <v>533</v>
      </c>
      <c r="W107" s="27" t="s">
        <v>473</v>
      </c>
      <c r="X107" s="27" t="s">
        <v>474</v>
      </c>
      <c r="Y107" s="36">
        <v>13.19</v>
      </c>
      <c r="Z107" s="27" t="s">
        <v>419</v>
      </c>
      <c r="AA107" s="27" t="s">
        <v>943</v>
      </c>
      <c r="AB107" s="27" t="s">
        <v>72</v>
      </c>
      <c r="AC107" s="27" t="s">
        <v>151</v>
      </c>
      <c r="AD107" s="26">
        <v>2.0</v>
      </c>
      <c r="AE107" s="26">
        <v>4.0</v>
      </c>
    </row>
    <row r="108" ht="15.75" customHeight="1">
      <c r="A108" s="25" t="s">
        <v>1200</v>
      </c>
      <c r="B108" s="25" t="s">
        <v>598</v>
      </c>
      <c r="C108" s="25" t="s">
        <v>1201</v>
      </c>
      <c r="D108" s="25" t="s">
        <v>1202</v>
      </c>
      <c r="E108" s="25" t="s">
        <v>424</v>
      </c>
      <c r="F108" s="30">
        <v>34281.0</v>
      </c>
      <c r="G108" s="25" t="s">
        <v>409</v>
      </c>
      <c r="H108" s="31">
        <v>11.0</v>
      </c>
      <c r="I108" s="25" t="s">
        <v>57</v>
      </c>
      <c r="J108" s="25" t="s">
        <v>57</v>
      </c>
      <c r="K108" s="25" t="s">
        <v>1105</v>
      </c>
      <c r="L108" s="25" t="s">
        <v>31</v>
      </c>
      <c r="M108" s="25" t="s">
        <v>177</v>
      </c>
      <c r="N108" s="25" t="s">
        <v>903</v>
      </c>
      <c r="O108" s="28" t="s">
        <v>1203</v>
      </c>
      <c r="P108" s="25" t="s">
        <v>1204</v>
      </c>
      <c r="Q108" s="25" t="s">
        <v>1205</v>
      </c>
      <c r="R108" s="25" t="s">
        <v>1206</v>
      </c>
      <c r="S108" s="30">
        <v>45150.0</v>
      </c>
      <c r="T108" s="25" t="s">
        <v>415</v>
      </c>
      <c r="U108" s="25" t="s">
        <v>65</v>
      </c>
      <c r="V108" s="25" t="s">
        <v>560</v>
      </c>
      <c r="W108" s="25" t="s">
        <v>462</v>
      </c>
      <c r="X108" s="25" t="s">
        <v>543</v>
      </c>
      <c r="Y108" s="32">
        <v>13.15</v>
      </c>
      <c r="Z108" s="25" t="s">
        <v>419</v>
      </c>
      <c r="AA108" s="25" t="s">
        <v>943</v>
      </c>
      <c r="AB108" s="25" t="s">
        <v>76</v>
      </c>
      <c r="AC108" s="25" t="s">
        <v>157</v>
      </c>
      <c r="AD108" s="24">
        <v>2.0</v>
      </c>
      <c r="AE108" s="24">
        <v>3.0</v>
      </c>
    </row>
    <row r="109" ht="15.75" customHeight="1">
      <c r="A109" s="27" t="s">
        <v>1207</v>
      </c>
      <c r="B109" s="27" t="s">
        <v>644</v>
      </c>
      <c r="C109" s="27" t="s">
        <v>466</v>
      </c>
      <c r="D109" s="27" t="s">
        <v>1208</v>
      </c>
      <c r="E109" s="27" t="s">
        <v>424</v>
      </c>
      <c r="F109" s="33">
        <v>34777.0</v>
      </c>
      <c r="G109" s="27" t="s">
        <v>409</v>
      </c>
      <c r="H109" s="34">
        <v>11.0</v>
      </c>
      <c r="I109" s="27" t="s">
        <v>57</v>
      </c>
      <c r="J109" s="27" t="s">
        <v>57</v>
      </c>
      <c r="K109" s="27" t="s">
        <v>1105</v>
      </c>
      <c r="L109" s="27" t="s">
        <v>55</v>
      </c>
      <c r="M109" s="27" t="s">
        <v>210</v>
      </c>
      <c r="N109" s="27" t="s">
        <v>890</v>
      </c>
      <c r="O109" s="35" t="s">
        <v>1209</v>
      </c>
      <c r="P109" s="27" t="s">
        <v>1210</v>
      </c>
      <c r="Q109" s="27" t="s">
        <v>1211</v>
      </c>
      <c r="R109" s="27" t="s">
        <v>1212</v>
      </c>
      <c r="S109" s="33">
        <v>45626.0</v>
      </c>
      <c r="T109" s="27" t="s">
        <v>415</v>
      </c>
      <c r="U109" s="27" t="s">
        <v>65</v>
      </c>
      <c r="V109" s="27" t="s">
        <v>570</v>
      </c>
      <c r="W109" s="27" t="s">
        <v>522</v>
      </c>
      <c r="X109" s="27" t="s">
        <v>561</v>
      </c>
      <c r="Y109" s="36">
        <v>10.3</v>
      </c>
      <c r="Z109" s="27" t="s">
        <v>419</v>
      </c>
      <c r="AA109" s="27" t="s">
        <v>943</v>
      </c>
      <c r="AB109" s="27" t="s">
        <v>72</v>
      </c>
      <c r="AC109" s="27" t="s">
        <v>169</v>
      </c>
      <c r="AD109" s="26">
        <v>2.0</v>
      </c>
      <c r="AE109" s="26">
        <v>4.0</v>
      </c>
    </row>
    <row r="110" ht="15.75" customHeight="1">
      <c r="A110" s="25" t="s">
        <v>1213</v>
      </c>
      <c r="B110" s="25" t="s">
        <v>929</v>
      </c>
      <c r="C110" s="25" t="s">
        <v>466</v>
      </c>
      <c r="D110" s="25" t="s">
        <v>1214</v>
      </c>
      <c r="E110" s="25" t="s">
        <v>424</v>
      </c>
      <c r="F110" s="30">
        <v>36611.0</v>
      </c>
      <c r="G110" s="25" t="s">
        <v>409</v>
      </c>
      <c r="H110" s="31">
        <v>11.0</v>
      </c>
      <c r="I110" s="25" t="s">
        <v>57</v>
      </c>
      <c r="J110" s="25" t="s">
        <v>57</v>
      </c>
      <c r="K110" s="25" t="s">
        <v>1105</v>
      </c>
      <c r="L110" s="25" t="s">
        <v>27</v>
      </c>
      <c r="M110" s="25" t="s">
        <v>183</v>
      </c>
      <c r="N110" s="25" t="s">
        <v>915</v>
      </c>
      <c r="O110" s="28" t="s">
        <v>1215</v>
      </c>
      <c r="P110" s="25" t="s">
        <v>1216</v>
      </c>
      <c r="Q110" s="25" t="s">
        <v>1217</v>
      </c>
      <c r="R110" s="25" t="s">
        <v>1218</v>
      </c>
      <c r="S110" s="30">
        <v>45180.0</v>
      </c>
      <c r="T110" s="25" t="s">
        <v>495</v>
      </c>
      <c r="U110" s="25" t="s">
        <v>65</v>
      </c>
      <c r="V110" s="25" t="s">
        <v>570</v>
      </c>
      <c r="W110" s="25" t="s">
        <v>485</v>
      </c>
      <c r="X110" s="25" t="s">
        <v>474</v>
      </c>
      <c r="Y110" s="32">
        <v>12.48</v>
      </c>
      <c r="Z110" s="25" t="s">
        <v>419</v>
      </c>
      <c r="AA110" s="25" t="s">
        <v>943</v>
      </c>
      <c r="AB110" s="25" t="s">
        <v>72</v>
      </c>
      <c r="AC110" s="25" t="s">
        <v>153</v>
      </c>
      <c r="AD110" s="24">
        <v>2.0</v>
      </c>
      <c r="AE110" s="24">
        <v>4.0</v>
      </c>
    </row>
    <row r="111" ht="15.75" customHeight="1">
      <c r="A111" s="27" t="s">
        <v>1219</v>
      </c>
      <c r="B111" s="27" t="s">
        <v>795</v>
      </c>
      <c r="C111" s="27" t="s">
        <v>1005</v>
      </c>
      <c r="D111" s="27" t="s">
        <v>1220</v>
      </c>
      <c r="E111" s="27" t="s">
        <v>408</v>
      </c>
      <c r="F111" s="33">
        <v>34886.0</v>
      </c>
      <c r="G111" s="27" t="s">
        <v>409</v>
      </c>
      <c r="H111" s="34">
        <v>11.0</v>
      </c>
      <c r="I111" s="27" t="s">
        <v>57</v>
      </c>
      <c r="J111" s="27" t="s">
        <v>57</v>
      </c>
      <c r="K111" s="27" t="s">
        <v>1105</v>
      </c>
      <c r="L111" s="27" t="s">
        <v>31</v>
      </c>
      <c r="M111" s="27" t="s">
        <v>196</v>
      </c>
      <c r="N111" s="27" t="s">
        <v>903</v>
      </c>
      <c r="O111" s="35" t="s">
        <v>1221</v>
      </c>
      <c r="P111" s="27" t="s">
        <v>1222</v>
      </c>
      <c r="Q111" s="27" t="s">
        <v>1223</v>
      </c>
      <c r="R111" s="27" t="s">
        <v>1224</v>
      </c>
      <c r="S111" s="33">
        <v>45166.0</v>
      </c>
      <c r="T111" s="27" t="s">
        <v>415</v>
      </c>
      <c r="U111" s="27" t="s">
        <v>65</v>
      </c>
      <c r="V111" s="27" t="s">
        <v>441</v>
      </c>
      <c r="W111" s="27" t="s">
        <v>452</v>
      </c>
      <c r="X111" s="27" t="s">
        <v>418</v>
      </c>
      <c r="Y111" s="36">
        <v>12.53</v>
      </c>
      <c r="Z111" s="27" t="s">
        <v>419</v>
      </c>
      <c r="AA111" s="27" t="s">
        <v>943</v>
      </c>
      <c r="AB111" s="27" t="s">
        <v>74</v>
      </c>
      <c r="AC111" s="27" t="s">
        <v>157</v>
      </c>
      <c r="AD111" s="26">
        <v>2.0</v>
      </c>
      <c r="AE111" s="26">
        <v>3.0</v>
      </c>
    </row>
    <row r="112" ht="15.75" customHeight="1">
      <c r="A112" s="25" t="s">
        <v>1225</v>
      </c>
      <c r="B112" s="25" t="s">
        <v>606</v>
      </c>
      <c r="C112" s="25" t="s">
        <v>722</v>
      </c>
      <c r="D112" s="25" t="s">
        <v>1226</v>
      </c>
      <c r="E112" s="25" t="s">
        <v>408</v>
      </c>
      <c r="F112" s="30">
        <v>34932.0</v>
      </c>
      <c r="G112" s="25" t="s">
        <v>409</v>
      </c>
      <c r="H112" s="31">
        <v>11.0</v>
      </c>
      <c r="I112" s="25" t="s">
        <v>57</v>
      </c>
      <c r="J112" s="25" t="s">
        <v>57</v>
      </c>
      <c r="K112" s="25" t="s">
        <v>1105</v>
      </c>
      <c r="L112" s="25" t="s">
        <v>19</v>
      </c>
      <c r="M112" s="25" t="s">
        <v>215</v>
      </c>
      <c r="N112" s="25" t="s">
        <v>808</v>
      </c>
      <c r="O112" s="28" t="s">
        <v>1227</v>
      </c>
      <c r="P112" s="25" t="s">
        <v>1228</v>
      </c>
      <c r="Q112" s="25" t="s">
        <v>1229</v>
      </c>
      <c r="R112" s="25" t="s">
        <v>1230</v>
      </c>
      <c r="S112" s="30">
        <v>45208.0</v>
      </c>
      <c r="T112" s="25" t="s">
        <v>495</v>
      </c>
      <c r="U112" s="25" t="s">
        <v>65</v>
      </c>
      <c r="V112" s="25" t="s">
        <v>612</v>
      </c>
      <c r="W112" s="25" t="s">
        <v>417</v>
      </c>
      <c r="X112" s="25" t="s">
        <v>543</v>
      </c>
      <c r="Y112" s="32">
        <v>9.96</v>
      </c>
      <c r="Z112" s="25" t="s">
        <v>419</v>
      </c>
      <c r="AA112" s="25" t="s">
        <v>943</v>
      </c>
      <c r="AB112" s="25" t="s">
        <v>76</v>
      </c>
      <c r="AC112" s="25" t="s">
        <v>149</v>
      </c>
      <c r="AD112" s="24">
        <v>2.0</v>
      </c>
      <c r="AE112" s="24">
        <v>2.0</v>
      </c>
    </row>
    <row r="113" ht="15.75" customHeight="1">
      <c r="A113" s="27" t="s">
        <v>1231</v>
      </c>
      <c r="B113" s="27" t="s">
        <v>652</v>
      </c>
      <c r="C113" s="27" t="s">
        <v>731</v>
      </c>
      <c r="D113" s="27" t="s">
        <v>1232</v>
      </c>
      <c r="E113" s="27" t="s">
        <v>424</v>
      </c>
      <c r="F113" s="33">
        <v>36329.0</v>
      </c>
      <c r="G113" s="27" t="s">
        <v>409</v>
      </c>
      <c r="H113" s="34">
        <v>11.0</v>
      </c>
      <c r="I113" s="27" t="s">
        <v>57</v>
      </c>
      <c r="J113" s="27" t="s">
        <v>57</v>
      </c>
      <c r="K113" s="27" t="s">
        <v>1105</v>
      </c>
      <c r="L113" s="27" t="s">
        <v>51</v>
      </c>
      <c r="M113" s="27" t="s">
        <v>183</v>
      </c>
      <c r="N113" s="27" t="s">
        <v>815</v>
      </c>
      <c r="O113" s="35" t="s">
        <v>1233</v>
      </c>
      <c r="P113" s="27" t="s">
        <v>1234</v>
      </c>
      <c r="Q113" s="27" t="s">
        <v>1235</v>
      </c>
      <c r="R113" s="27" t="s">
        <v>1236</v>
      </c>
      <c r="S113" s="33">
        <v>45173.0</v>
      </c>
      <c r="T113" s="27" t="s">
        <v>415</v>
      </c>
      <c r="U113" s="27" t="s">
        <v>65</v>
      </c>
      <c r="V113" s="27" t="s">
        <v>612</v>
      </c>
      <c r="W113" s="27" t="s">
        <v>496</v>
      </c>
      <c r="X113" s="27" t="s">
        <v>486</v>
      </c>
      <c r="Y113" s="36">
        <v>9.3</v>
      </c>
      <c r="Z113" s="27" t="s">
        <v>419</v>
      </c>
      <c r="AA113" s="27" t="s">
        <v>943</v>
      </c>
      <c r="AB113" s="27" t="s">
        <v>72</v>
      </c>
      <c r="AC113" s="27" t="s">
        <v>168</v>
      </c>
      <c r="AD113" s="26">
        <v>2.0</v>
      </c>
      <c r="AE113" s="26">
        <v>1.0</v>
      </c>
    </row>
    <row r="114" ht="15.75" customHeight="1">
      <c r="A114" s="25" t="s">
        <v>1237</v>
      </c>
      <c r="B114" s="25" t="s">
        <v>498</v>
      </c>
      <c r="C114" s="25" t="s">
        <v>758</v>
      </c>
      <c r="D114" s="25" t="s">
        <v>1238</v>
      </c>
      <c r="E114" s="25" t="s">
        <v>424</v>
      </c>
      <c r="F114" s="30">
        <v>35432.0</v>
      </c>
      <c r="G114" s="25" t="s">
        <v>527</v>
      </c>
      <c r="H114" s="31">
        <v>11.0</v>
      </c>
      <c r="I114" s="25" t="s">
        <v>57</v>
      </c>
      <c r="J114" s="25" t="s">
        <v>57</v>
      </c>
      <c r="K114" s="25" t="s">
        <v>1105</v>
      </c>
      <c r="L114" s="25" t="s">
        <v>19</v>
      </c>
      <c r="M114" s="25" t="s">
        <v>196</v>
      </c>
      <c r="N114" s="25" t="s">
        <v>855</v>
      </c>
      <c r="O114" s="28" t="s">
        <v>1239</v>
      </c>
      <c r="P114" s="25" t="s">
        <v>1240</v>
      </c>
      <c r="Q114" s="25" t="s">
        <v>1241</v>
      </c>
      <c r="R114" s="25" t="s">
        <v>1242</v>
      </c>
      <c r="S114" s="30">
        <v>44979.0</v>
      </c>
      <c r="T114" s="25" t="s">
        <v>415</v>
      </c>
      <c r="U114" s="25" t="s">
        <v>65</v>
      </c>
      <c r="V114" s="25" t="s">
        <v>461</v>
      </c>
      <c r="W114" s="25" t="s">
        <v>522</v>
      </c>
      <c r="X114" s="25" t="s">
        <v>418</v>
      </c>
      <c r="Y114" s="32">
        <v>10.7</v>
      </c>
      <c r="Z114" s="25" t="s">
        <v>419</v>
      </c>
      <c r="AA114" s="25" t="s">
        <v>943</v>
      </c>
      <c r="AB114" s="25" t="s">
        <v>74</v>
      </c>
      <c r="AC114" s="25" t="s">
        <v>149</v>
      </c>
      <c r="AD114" s="24">
        <v>2.0</v>
      </c>
      <c r="AE114" s="24">
        <v>2.0</v>
      </c>
    </row>
    <row r="115" ht="15.75" customHeight="1">
      <c r="A115" s="27" t="s">
        <v>1243</v>
      </c>
      <c r="B115" s="27" t="s">
        <v>1244</v>
      </c>
      <c r="C115" s="27" t="s">
        <v>489</v>
      </c>
      <c r="D115" s="27" t="s">
        <v>1245</v>
      </c>
      <c r="E115" s="27" t="s">
        <v>408</v>
      </c>
      <c r="F115" s="33">
        <v>36088.0</v>
      </c>
      <c r="G115" s="27" t="s">
        <v>409</v>
      </c>
      <c r="H115" s="34">
        <v>11.0</v>
      </c>
      <c r="I115" s="27" t="s">
        <v>57</v>
      </c>
      <c r="J115" s="27" t="s">
        <v>57</v>
      </c>
      <c r="K115" s="27" t="s">
        <v>1105</v>
      </c>
      <c r="L115" s="27" t="s">
        <v>51</v>
      </c>
      <c r="M115" s="27" t="s">
        <v>192</v>
      </c>
      <c r="N115" s="27" t="s">
        <v>883</v>
      </c>
      <c r="O115" s="35" t="s">
        <v>1246</v>
      </c>
      <c r="P115" s="27" t="s">
        <v>1247</v>
      </c>
      <c r="Q115" s="27" t="s">
        <v>1248</v>
      </c>
      <c r="R115" s="27" t="s">
        <v>1249</v>
      </c>
      <c r="S115" s="33">
        <v>45333.0</v>
      </c>
      <c r="T115" s="27" t="s">
        <v>415</v>
      </c>
      <c r="U115" s="27" t="s">
        <v>65</v>
      </c>
      <c r="V115" s="27" t="s">
        <v>441</v>
      </c>
      <c r="W115" s="27" t="s">
        <v>452</v>
      </c>
      <c r="X115" s="27" t="s">
        <v>418</v>
      </c>
      <c r="Y115" s="36">
        <v>8.47</v>
      </c>
      <c r="Z115" s="27" t="s">
        <v>419</v>
      </c>
      <c r="AA115" s="27" t="s">
        <v>943</v>
      </c>
      <c r="AB115" s="27" t="s">
        <v>72</v>
      </c>
      <c r="AC115" s="27" t="s">
        <v>168</v>
      </c>
      <c r="AD115" s="26">
        <v>2.0</v>
      </c>
      <c r="AE115" s="26">
        <v>3.0</v>
      </c>
    </row>
    <row r="116" ht="15.75" customHeight="1">
      <c r="A116" s="25" t="s">
        <v>1250</v>
      </c>
      <c r="B116" s="25" t="s">
        <v>765</v>
      </c>
      <c r="C116" s="25" t="s">
        <v>1005</v>
      </c>
      <c r="D116" s="25" t="s">
        <v>1251</v>
      </c>
      <c r="E116" s="25" t="s">
        <v>424</v>
      </c>
      <c r="F116" s="30">
        <v>35543.0</v>
      </c>
      <c r="G116" s="25" t="s">
        <v>409</v>
      </c>
      <c r="H116" s="31">
        <v>11.0</v>
      </c>
      <c r="I116" s="25" t="s">
        <v>57</v>
      </c>
      <c r="J116" s="25" t="s">
        <v>57</v>
      </c>
      <c r="K116" s="25" t="s">
        <v>1105</v>
      </c>
      <c r="L116" s="25" t="s">
        <v>19</v>
      </c>
      <c r="M116" s="25" t="s">
        <v>192</v>
      </c>
      <c r="N116" s="25" t="s">
        <v>830</v>
      </c>
      <c r="O116" s="28" t="s">
        <v>1252</v>
      </c>
      <c r="P116" s="25" t="s">
        <v>1253</v>
      </c>
      <c r="Q116" s="25" t="s">
        <v>1254</v>
      </c>
      <c r="R116" s="25" t="s">
        <v>1255</v>
      </c>
      <c r="S116" s="30">
        <v>45076.0</v>
      </c>
      <c r="T116" s="25" t="s">
        <v>415</v>
      </c>
      <c r="U116" s="25" t="s">
        <v>65</v>
      </c>
      <c r="V116" s="25" t="s">
        <v>461</v>
      </c>
      <c r="W116" s="25" t="s">
        <v>452</v>
      </c>
      <c r="X116" s="25" t="s">
        <v>561</v>
      </c>
      <c r="Y116" s="32">
        <v>8.64</v>
      </c>
      <c r="Z116" s="25" t="s">
        <v>419</v>
      </c>
      <c r="AA116" s="25" t="s">
        <v>943</v>
      </c>
      <c r="AB116" s="25" t="s">
        <v>72</v>
      </c>
      <c r="AC116" s="25" t="s">
        <v>149</v>
      </c>
      <c r="AD116" s="24">
        <v>2.0</v>
      </c>
      <c r="AE116" s="24">
        <v>4.0</v>
      </c>
    </row>
    <row r="117" ht="15.75" customHeight="1">
      <c r="A117" s="27" t="s">
        <v>1256</v>
      </c>
      <c r="B117" s="27" t="s">
        <v>454</v>
      </c>
      <c r="C117" s="27" t="s">
        <v>422</v>
      </c>
      <c r="D117" s="27" t="s">
        <v>1257</v>
      </c>
      <c r="E117" s="27" t="s">
        <v>424</v>
      </c>
      <c r="F117" s="33">
        <v>36240.0</v>
      </c>
      <c r="G117" s="27" t="s">
        <v>409</v>
      </c>
      <c r="H117" s="34">
        <v>11.0</v>
      </c>
      <c r="I117" s="27" t="s">
        <v>57</v>
      </c>
      <c r="J117" s="27" t="s">
        <v>57</v>
      </c>
      <c r="K117" s="27" t="s">
        <v>1105</v>
      </c>
      <c r="L117" s="27" t="s">
        <v>19</v>
      </c>
      <c r="M117" s="27" t="s">
        <v>192</v>
      </c>
      <c r="N117" s="27" t="s">
        <v>890</v>
      </c>
      <c r="O117" s="35" t="s">
        <v>1258</v>
      </c>
      <c r="P117" s="27" t="s">
        <v>1259</v>
      </c>
      <c r="Q117" s="27" t="s">
        <v>1260</v>
      </c>
      <c r="R117" s="27" t="s">
        <v>1261</v>
      </c>
      <c r="S117" s="33">
        <v>45100.0</v>
      </c>
      <c r="T117" s="27" t="s">
        <v>495</v>
      </c>
      <c r="U117" s="27" t="s">
        <v>65</v>
      </c>
      <c r="V117" s="27" t="s">
        <v>570</v>
      </c>
      <c r="W117" s="27" t="s">
        <v>462</v>
      </c>
      <c r="X117" s="27" t="s">
        <v>418</v>
      </c>
      <c r="Y117" s="36">
        <v>6.47</v>
      </c>
      <c r="Z117" s="27" t="s">
        <v>419</v>
      </c>
      <c r="AA117" s="27" t="s">
        <v>943</v>
      </c>
      <c r="AB117" s="27" t="s">
        <v>72</v>
      </c>
      <c r="AC117" s="27" t="s">
        <v>149</v>
      </c>
      <c r="AD117" s="26">
        <v>2.0</v>
      </c>
      <c r="AE117" s="26">
        <v>1.0</v>
      </c>
    </row>
    <row r="118" ht="15.75" customHeight="1">
      <c r="A118" s="25" t="s">
        <v>1262</v>
      </c>
      <c r="B118" s="25" t="s">
        <v>876</v>
      </c>
      <c r="C118" s="25" t="s">
        <v>583</v>
      </c>
      <c r="D118" s="25" t="s">
        <v>1263</v>
      </c>
      <c r="E118" s="25" t="s">
        <v>408</v>
      </c>
      <c r="F118" s="30">
        <v>35310.0</v>
      </c>
      <c r="G118" s="25" t="s">
        <v>409</v>
      </c>
      <c r="H118" s="31">
        <v>11.0</v>
      </c>
      <c r="I118" s="25" t="s">
        <v>57</v>
      </c>
      <c r="J118" s="25" t="s">
        <v>57</v>
      </c>
      <c r="K118" s="25" t="s">
        <v>1105</v>
      </c>
      <c r="L118" s="25" t="s">
        <v>19</v>
      </c>
      <c r="M118" s="25" t="s">
        <v>192</v>
      </c>
      <c r="N118" s="25" t="s">
        <v>843</v>
      </c>
      <c r="O118" s="28" t="s">
        <v>1264</v>
      </c>
      <c r="P118" s="25" t="s">
        <v>1265</v>
      </c>
      <c r="Q118" s="25" t="s">
        <v>1266</v>
      </c>
      <c r="R118" s="25" t="s">
        <v>1267</v>
      </c>
      <c r="S118" s="30">
        <v>45309.0</v>
      </c>
      <c r="T118" s="25" t="s">
        <v>495</v>
      </c>
      <c r="U118" s="25" t="s">
        <v>65</v>
      </c>
      <c r="V118" s="25" t="s">
        <v>461</v>
      </c>
      <c r="W118" s="25" t="s">
        <v>728</v>
      </c>
      <c r="X118" s="25" t="s">
        <v>474</v>
      </c>
      <c r="Y118" s="32">
        <v>10.26</v>
      </c>
      <c r="Z118" s="25" t="s">
        <v>419</v>
      </c>
      <c r="AA118" s="25" t="s">
        <v>943</v>
      </c>
      <c r="AB118" s="25" t="s">
        <v>72</v>
      </c>
      <c r="AC118" s="25" t="s">
        <v>149</v>
      </c>
      <c r="AD118" s="24">
        <v>2.0</v>
      </c>
      <c r="AE118" s="24">
        <v>4.0</v>
      </c>
    </row>
    <row r="119" ht="15.75" customHeight="1">
      <c r="A119" s="27" t="s">
        <v>1268</v>
      </c>
      <c r="B119" s="27" t="s">
        <v>1269</v>
      </c>
      <c r="C119" s="27" t="s">
        <v>477</v>
      </c>
      <c r="D119" s="27" t="s">
        <v>1270</v>
      </c>
      <c r="E119" s="27" t="s">
        <v>408</v>
      </c>
      <c r="F119" s="33">
        <v>35386.0</v>
      </c>
      <c r="G119" s="27" t="s">
        <v>409</v>
      </c>
      <c r="H119" s="34">
        <v>11.0</v>
      </c>
      <c r="I119" s="27" t="s">
        <v>57</v>
      </c>
      <c r="J119" s="27" t="s">
        <v>57</v>
      </c>
      <c r="K119" s="27" t="s">
        <v>1105</v>
      </c>
      <c r="L119" s="27" t="s">
        <v>19</v>
      </c>
      <c r="M119" s="27" t="s">
        <v>192</v>
      </c>
      <c r="N119" s="27" t="s">
        <v>909</v>
      </c>
      <c r="O119" s="35" t="s">
        <v>1271</v>
      </c>
      <c r="P119" s="27" t="s">
        <v>1272</v>
      </c>
      <c r="Q119" s="27" t="s">
        <v>1273</v>
      </c>
      <c r="R119" s="27" t="s">
        <v>1274</v>
      </c>
      <c r="S119" s="33">
        <v>45173.0</v>
      </c>
      <c r="T119" s="27" t="s">
        <v>415</v>
      </c>
      <c r="U119" s="27" t="s">
        <v>65</v>
      </c>
      <c r="V119" s="27" t="s">
        <v>441</v>
      </c>
      <c r="W119" s="27" t="s">
        <v>505</v>
      </c>
      <c r="X119" s="27" t="s">
        <v>474</v>
      </c>
      <c r="Y119" s="36">
        <v>13.67</v>
      </c>
      <c r="Z119" s="27" t="s">
        <v>419</v>
      </c>
      <c r="AA119" s="27" t="s">
        <v>943</v>
      </c>
      <c r="AB119" s="27" t="s">
        <v>72</v>
      </c>
      <c r="AC119" s="27" t="s">
        <v>149</v>
      </c>
      <c r="AD119" s="26">
        <v>2.0</v>
      </c>
      <c r="AE119" s="26">
        <v>1.0</v>
      </c>
    </row>
    <row r="120" ht="15.75" customHeight="1">
      <c r="A120" s="25" t="s">
        <v>1275</v>
      </c>
      <c r="B120" s="25" t="s">
        <v>652</v>
      </c>
      <c r="C120" s="25" t="s">
        <v>466</v>
      </c>
      <c r="D120" s="25" t="s">
        <v>1276</v>
      </c>
      <c r="E120" s="25" t="s">
        <v>424</v>
      </c>
      <c r="F120" s="30">
        <v>35502.0</v>
      </c>
      <c r="G120" s="25" t="s">
        <v>527</v>
      </c>
      <c r="H120" s="31">
        <v>11.0</v>
      </c>
      <c r="I120" s="25" t="s">
        <v>57</v>
      </c>
      <c r="J120" s="25" t="s">
        <v>57</v>
      </c>
      <c r="K120" s="25" t="s">
        <v>1105</v>
      </c>
      <c r="L120" s="25" t="s">
        <v>35</v>
      </c>
      <c r="M120" s="25" t="s">
        <v>196</v>
      </c>
      <c r="N120" s="25" t="s">
        <v>849</v>
      </c>
      <c r="O120" s="28" t="s">
        <v>1277</v>
      </c>
      <c r="P120" s="25" t="s">
        <v>1278</v>
      </c>
      <c r="Q120" s="25" t="s">
        <v>1279</v>
      </c>
      <c r="R120" s="25" t="s">
        <v>1280</v>
      </c>
      <c r="S120" s="30">
        <v>44984.0</v>
      </c>
      <c r="T120" s="25" t="s">
        <v>415</v>
      </c>
      <c r="U120" s="25" t="s">
        <v>65</v>
      </c>
      <c r="V120" s="25" t="s">
        <v>533</v>
      </c>
      <c r="W120" s="25" t="s">
        <v>697</v>
      </c>
      <c r="X120" s="25" t="s">
        <v>561</v>
      </c>
      <c r="Y120" s="32">
        <v>10.53</v>
      </c>
      <c r="Z120" s="25" t="s">
        <v>419</v>
      </c>
      <c r="AA120" s="25" t="s">
        <v>943</v>
      </c>
      <c r="AB120" s="25" t="s">
        <v>76</v>
      </c>
      <c r="AC120" s="25" t="s">
        <v>160</v>
      </c>
      <c r="AD120" s="24">
        <v>2.0</v>
      </c>
      <c r="AE120" s="24">
        <v>1.0</v>
      </c>
    </row>
    <row r="121" ht="15.75" customHeight="1">
      <c r="A121" s="27" t="s">
        <v>1281</v>
      </c>
      <c r="B121" s="27" t="s">
        <v>787</v>
      </c>
      <c r="C121" s="27" t="s">
        <v>508</v>
      </c>
      <c r="D121" s="27" t="s">
        <v>1282</v>
      </c>
      <c r="E121" s="27" t="s">
        <v>408</v>
      </c>
      <c r="F121" s="33">
        <v>35547.0</v>
      </c>
      <c r="G121" s="27" t="s">
        <v>409</v>
      </c>
      <c r="H121" s="34">
        <v>11.0</v>
      </c>
      <c r="I121" s="27" t="s">
        <v>57</v>
      </c>
      <c r="J121" s="27" t="s">
        <v>57</v>
      </c>
      <c r="K121" s="27" t="s">
        <v>1105</v>
      </c>
      <c r="L121" s="27" t="s">
        <v>51</v>
      </c>
      <c r="M121" s="27" t="s">
        <v>183</v>
      </c>
      <c r="N121" s="27" t="s">
        <v>915</v>
      </c>
      <c r="O121" s="35" t="s">
        <v>1283</v>
      </c>
      <c r="P121" s="27" t="s">
        <v>1284</v>
      </c>
      <c r="Q121" s="27" t="s">
        <v>1285</v>
      </c>
      <c r="R121" s="27" t="s">
        <v>1286</v>
      </c>
      <c r="S121" s="33">
        <v>45110.0</v>
      </c>
      <c r="T121" s="27" t="s">
        <v>415</v>
      </c>
      <c r="U121" s="27" t="s">
        <v>65</v>
      </c>
      <c r="V121" s="27" t="s">
        <v>570</v>
      </c>
      <c r="W121" s="27" t="s">
        <v>431</v>
      </c>
      <c r="X121" s="27" t="s">
        <v>486</v>
      </c>
      <c r="Y121" s="36">
        <v>9.19</v>
      </c>
      <c r="Z121" s="27" t="s">
        <v>419</v>
      </c>
      <c r="AA121" s="27" t="s">
        <v>943</v>
      </c>
      <c r="AB121" s="27" t="s">
        <v>72</v>
      </c>
      <c r="AC121" s="27" t="s">
        <v>168</v>
      </c>
      <c r="AD121" s="26">
        <v>2.0</v>
      </c>
      <c r="AE121" s="26">
        <v>4.0</v>
      </c>
    </row>
    <row r="122" ht="15.75" customHeight="1">
      <c r="A122" s="25" t="s">
        <v>1287</v>
      </c>
      <c r="B122" s="25" t="s">
        <v>706</v>
      </c>
      <c r="C122" s="25" t="s">
        <v>622</v>
      </c>
      <c r="D122" s="25" t="s">
        <v>1288</v>
      </c>
      <c r="E122" s="25" t="s">
        <v>408</v>
      </c>
      <c r="F122" s="30">
        <v>36292.0</v>
      </c>
      <c r="G122" s="25" t="s">
        <v>669</v>
      </c>
      <c r="H122" s="31">
        <v>11.0</v>
      </c>
      <c r="I122" s="25" t="s">
        <v>57</v>
      </c>
      <c r="J122" s="25" t="s">
        <v>57</v>
      </c>
      <c r="K122" s="25" t="s">
        <v>1105</v>
      </c>
      <c r="L122" s="25" t="s">
        <v>19</v>
      </c>
      <c r="M122" s="25" t="s">
        <v>183</v>
      </c>
      <c r="N122" s="25" t="s">
        <v>801</v>
      </c>
      <c r="O122" s="28" t="s">
        <v>1289</v>
      </c>
      <c r="P122" s="25" t="s">
        <v>1290</v>
      </c>
      <c r="Q122" s="25" t="s">
        <v>1291</v>
      </c>
      <c r="R122" s="25" t="s">
        <v>1292</v>
      </c>
      <c r="S122" s="30">
        <v>44981.0</v>
      </c>
      <c r="T122" s="25" t="s">
        <v>415</v>
      </c>
      <c r="U122" s="25" t="s">
        <v>65</v>
      </c>
      <c r="V122" s="25" t="s">
        <v>533</v>
      </c>
      <c r="W122" s="25" t="s">
        <v>542</v>
      </c>
      <c r="X122" s="25" t="s">
        <v>486</v>
      </c>
      <c r="Y122" s="32">
        <v>9.17</v>
      </c>
      <c r="Z122" s="25" t="s">
        <v>419</v>
      </c>
      <c r="AA122" s="25" t="s">
        <v>943</v>
      </c>
      <c r="AB122" s="25" t="s">
        <v>74</v>
      </c>
      <c r="AC122" s="25" t="s">
        <v>149</v>
      </c>
      <c r="AD122" s="24">
        <v>2.0</v>
      </c>
      <c r="AE122" s="24">
        <v>4.0</v>
      </c>
    </row>
    <row r="123" ht="15.75" customHeight="1">
      <c r="A123" s="27" t="s">
        <v>1293</v>
      </c>
      <c r="B123" s="27" t="s">
        <v>666</v>
      </c>
      <c r="C123" s="27" t="s">
        <v>536</v>
      </c>
      <c r="D123" s="27" t="s">
        <v>1294</v>
      </c>
      <c r="E123" s="27" t="s">
        <v>424</v>
      </c>
      <c r="F123" s="33">
        <v>36310.0</v>
      </c>
      <c r="G123" s="27" t="s">
        <v>409</v>
      </c>
      <c r="H123" s="34">
        <v>12.0</v>
      </c>
      <c r="I123" s="27" t="s">
        <v>60</v>
      </c>
      <c r="J123" s="27" t="s">
        <v>60</v>
      </c>
      <c r="K123" s="27" t="s">
        <v>1295</v>
      </c>
      <c r="L123" s="27" t="s">
        <v>43</v>
      </c>
      <c r="M123" s="27" t="s">
        <v>183</v>
      </c>
      <c r="N123" s="27" t="s">
        <v>883</v>
      </c>
      <c r="O123" s="35" t="s">
        <v>1296</v>
      </c>
      <c r="P123" s="27" t="s">
        <v>1297</v>
      </c>
      <c r="Q123" s="27" t="s">
        <v>1298</v>
      </c>
      <c r="R123" s="27" t="s">
        <v>1299</v>
      </c>
      <c r="S123" s="33">
        <v>45014.0</v>
      </c>
      <c r="T123" s="27" t="s">
        <v>415</v>
      </c>
      <c r="U123" s="27" t="s">
        <v>65</v>
      </c>
      <c r="V123" s="27" t="s">
        <v>570</v>
      </c>
      <c r="W123" s="27" t="s">
        <v>728</v>
      </c>
      <c r="X123" s="27" t="s">
        <v>619</v>
      </c>
      <c r="Y123" s="36">
        <v>6.54</v>
      </c>
      <c r="Z123" s="27" t="s">
        <v>419</v>
      </c>
      <c r="AA123" s="27" t="s">
        <v>943</v>
      </c>
      <c r="AB123" s="27" t="s">
        <v>74</v>
      </c>
      <c r="AC123" s="27" t="s">
        <v>164</v>
      </c>
      <c r="AD123" s="26">
        <v>2.0</v>
      </c>
      <c r="AE123" s="26">
        <v>2.0</v>
      </c>
    </row>
    <row r="124" ht="15.75" customHeight="1">
      <c r="A124" s="25" t="s">
        <v>1300</v>
      </c>
      <c r="B124" s="25" t="s">
        <v>516</v>
      </c>
      <c r="C124" s="25" t="s">
        <v>970</v>
      </c>
      <c r="D124" s="25" t="s">
        <v>1301</v>
      </c>
      <c r="E124" s="25" t="s">
        <v>424</v>
      </c>
      <c r="F124" s="30">
        <v>33961.0</v>
      </c>
      <c r="G124" s="25" t="s">
        <v>409</v>
      </c>
      <c r="H124" s="31">
        <v>12.0</v>
      </c>
      <c r="I124" s="25" t="s">
        <v>60</v>
      </c>
      <c r="J124" s="25" t="s">
        <v>60</v>
      </c>
      <c r="K124" s="25" t="s">
        <v>1295</v>
      </c>
      <c r="L124" s="25" t="s">
        <v>27</v>
      </c>
      <c r="M124" s="25" t="s">
        <v>192</v>
      </c>
      <c r="N124" s="25" t="s">
        <v>875</v>
      </c>
      <c r="O124" s="28" t="s">
        <v>1302</v>
      </c>
      <c r="P124" s="25" t="s">
        <v>1303</v>
      </c>
      <c r="Q124" s="25" t="s">
        <v>1304</v>
      </c>
      <c r="R124" s="25" t="s">
        <v>1305</v>
      </c>
      <c r="S124" s="30">
        <v>45368.0</v>
      </c>
      <c r="T124" s="25" t="s">
        <v>415</v>
      </c>
      <c r="U124" s="25" t="s">
        <v>65</v>
      </c>
      <c r="V124" s="25" t="s">
        <v>596</v>
      </c>
      <c r="W124" s="25" t="s">
        <v>505</v>
      </c>
      <c r="X124" s="25" t="s">
        <v>418</v>
      </c>
      <c r="Y124" s="32">
        <v>7.14</v>
      </c>
      <c r="Z124" s="25" t="s">
        <v>419</v>
      </c>
      <c r="AA124" s="25" t="s">
        <v>943</v>
      </c>
      <c r="AB124" s="25" t="s">
        <v>76</v>
      </c>
      <c r="AC124" s="25" t="s">
        <v>153</v>
      </c>
      <c r="AD124" s="24">
        <v>2.0</v>
      </c>
      <c r="AE124" s="24">
        <v>1.0</v>
      </c>
    </row>
    <row r="125" ht="15.75" customHeight="1">
      <c r="A125" s="27" t="s">
        <v>1306</v>
      </c>
      <c r="B125" s="27" t="s">
        <v>590</v>
      </c>
      <c r="C125" s="27" t="s">
        <v>970</v>
      </c>
      <c r="D125" s="27" t="s">
        <v>1307</v>
      </c>
      <c r="E125" s="27" t="s">
        <v>424</v>
      </c>
      <c r="F125" s="33">
        <v>34705.0</v>
      </c>
      <c r="G125" s="27" t="s">
        <v>409</v>
      </c>
      <c r="H125" s="34">
        <v>12.0</v>
      </c>
      <c r="I125" s="27" t="s">
        <v>60</v>
      </c>
      <c r="J125" s="27" t="s">
        <v>60</v>
      </c>
      <c r="K125" s="27" t="s">
        <v>1295</v>
      </c>
      <c r="L125" s="27" t="s">
        <v>27</v>
      </c>
      <c r="M125" s="27" t="s">
        <v>177</v>
      </c>
      <c r="N125" s="27" t="s">
        <v>903</v>
      </c>
      <c r="O125" s="35" t="s">
        <v>1308</v>
      </c>
      <c r="P125" s="27" t="s">
        <v>1309</v>
      </c>
      <c r="Q125" s="27" t="s">
        <v>1310</v>
      </c>
      <c r="R125" s="27" t="s">
        <v>1311</v>
      </c>
      <c r="S125" s="33">
        <v>45201.0</v>
      </c>
      <c r="T125" s="27" t="s">
        <v>415</v>
      </c>
      <c r="U125" s="27" t="s">
        <v>65</v>
      </c>
      <c r="V125" s="27" t="s">
        <v>596</v>
      </c>
      <c r="W125" s="27" t="s">
        <v>485</v>
      </c>
      <c r="X125" s="27" t="s">
        <v>463</v>
      </c>
      <c r="Y125" s="36">
        <v>7.78</v>
      </c>
      <c r="Z125" s="27" t="s">
        <v>419</v>
      </c>
      <c r="AA125" s="27" t="s">
        <v>943</v>
      </c>
      <c r="AB125" s="27" t="s">
        <v>74</v>
      </c>
      <c r="AC125" s="27" t="s">
        <v>153</v>
      </c>
      <c r="AD125" s="26">
        <v>2.0</v>
      </c>
      <c r="AE125" s="26">
        <v>2.0</v>
      </c>
    </row>
    <row r="126" ht="15.75" customHeight="1">
      <c r="A126" s="25" t="s">
        <v>1312</v>
      </c>
      <c r="B126" s="25" t="s">
        <v>831</v>
      </c>
      <c r="C126" s="25" t="s">
        <v>714</v>
      </c>
      <c r="D126" s="25" t="s">
        <v>1313</v>
      </c>
      <c r="E126" s="25" t="s">
        <v>408</v>
      </c>
      <c r="F126" s="30">
        <v>37051.0</v>
      </c>
      <c r="G126" s="25" t="s">
        <v>409</v>
      </c>
      <c r="H126" s="31">
        <v>12.0</v>
      </c>
      <c r="I126" s="25" t="s">
        <v>60</v>
      </c>
      <c r="J126" s="25" t="s">
        <v>60</v>
      </c>
      <c r="K126" s="25" t="s">
        <v>1295</v>
      </c>
      <c r="L126" s="25" t="s">
        <v>27</v>
      </c>
      <c r="M126" s="25" t="s">
        <v>188</v>
      </c>
      <c r="N126" s="25" t="s">
        <v>915</v>
      </c>
      <c r="O126" s="28" t="s">
        <v>1314</v>
      </c>
      <c r="P126" s="25" t="s">
        <v>1315</v>
      </c>
      <c r="Q126" s="25" t="s">
        <v>1316</v>
      </c>
      <c r="R126" s="25" t="s">
        <v>1317</v>
      </c>
      <c r="S126" s="30">
        <v>45264.0</v>
      </c>
      <c r="T126" s="25" t="s">
        <v>495</v>
      </c>
      <c r="U126" s="25" t="s">
        <v>65</v>
      </c>
      <c r="V126" s="25" t="s">
        <v>441</v>
      </c>
      <c r="W126" s="25" t="s">
        <v>697</v>
      </c>
      <c r="X126" s="25" t="s">
        <v>418</v>
      </c>
      <c r="Y126" s="32">
        <v>7.79</v>
      </c>
      <c r="Z126" s="25" t="s">
        <v>419</v>
      </c>
      <c r="AA126" s="25" t="s">
        <v>943</v>
      </c>
      <c r="AB126" s="25" t="s">
        <v>72</v>
      </c>
      <c r="AC126" s="25" t="s">
        <v>153</v>
      </c>
      <c r="AD126" s="24">
        <v>2.0</v>
      </c>
      <c r="AE126" s="24">
        <v>2.0</v>
      </c>
    </row>
    <row r="127" ht="15.75" customHeight="1">
      <c r="A127" s="27" t="s">
        <v>1318</v>
      </c>
      <c r="B127" s="27" t="s">
        <v>1181</v>
      </c>
      <c r="C127" s="27" t="s">
        <v>1201</v>
      </c>
      <c r="D127" s="27" t="s">
        <v>1319</v>
      </c>
      <c r="E127" s="27" t="s">
        <v>424</v>
      </c>
      <c r="F127" s="33">
        <v>35099.0</v>
      </c>
      <c r="G127" s="27" t="s">
        <v>409</v>
      </c>
      <c r="H127" s="34">
        <v>12.0</v>
      </c>
      <c r="I127" s="27" t="s">
        <v>60</v>
      </c>
      <c r="J127" s="27" t="s">
        <v>60</v>
      </c>
      <c r="K127" s="27" t="s">
        <v>1295</v>
      </c>
      <c r="L127" s="27" t="s">
        <v>19</v>
      </c>
      <c r="M127" s="27" t="s">
        <v>220</v>
      </c>
      <c r="N127" s="27" t="s">
        <v>903</v>
      </c>
      <c r="O127" s="35" t="s">
        <v>1320</v>
      </c>
      <c r="P127" s="27" t="s">
        <v>1321</v>
      </c>
      <c r="Q127" s="27" t="s">
        <v>1322</v>
      </c>
      <c r="R127" s="27" t="s">
        <v>1323</v>
      </c>
      <c r="S127" s="33">
        <v>45504.0</v>
      </c>
      <c r="T127" s="27" t="s">
        <v>415</v>
      </c>
      <c r="U127" s="27" t="s">
        <v>73</v>
      </c>
      <c r="V127" s="27" t="s">
        <v>570</v>
      </c>
      <c r="W127" s="27" t="s">
        <v>697</v>
      </c>
      <c r="X127" s="27" t="s">
        <v>463</v>
      </c>
      <c r="Y127" s="36">
        <v>6.83</v>
      </c>
      <c r="Z127" s="27" t="s">
        <v>419</v>
      </c>
      <c r="AA127" s="27" t="s">
        <v>943</v>
      </c>
      <c r="AB127" s="27" t="s">
        <v>72</v>
      </c>
      <c r="AC127" s="27" t="s">
        <v>149</v>
      </c>
      <c r="AD127" s="26">
        <v>2.0</v>
      </c>
      <c r="AE127" s="26">
        <v>2.0</v>
      </c>
    </row>
    <row r="128" ht="15.75" customHeight="1">
      <c r="A128" s="25" t="s">
        <v>1324</v>
      </c>
      <c r="B128" s="25" t="s">
        <v>563</v>
      </c>
      <c r="C128" s="25" t="s">
        <v>455</v>
      </c>
      <c r="D128" s="25" t="s">
        <v>1325</v>
      </c>
      <c r="E128" s="25" t="s">
        <v>408</v>
      </c>
      <c r="F128" s="30">
        <v>36533.0</v>
      </c>
      <c r="G128" s="25" t="s">
        <v>468</v>
      </c>
      <c r="H128" s="31">
        <v>12.0</v>
      </c>
      <c r="I128" s="25" t="s">
        <v>60</v>
      </c>
      <c r="J128" s="25" t="s">
        <v>60</v>
      </c>
      <c r="K128" s="25" t="s">
        <v>1295</v>
      </c>
      <c r="L128" s="25" t="s">
        <v>19</v>
      </c>
      <c r="M128" s="25" t="s">
        <v>220</v>
      </c>
      <c r="N128" s="25" t="s">
        <v>875</v>
      </c>
      <c r="O128" s="28" t="s">
        <v>1326</v>
      </c>
      <c r="P128" s="25" t="s">
        <v>1327</v>
      </c>
      <c r="Q128" s="25" t="s">
        <v>1328</v>
      </c>
      <c r="R128" s="25" t="s">
        <v>1329</v>
      </c>
      <c r="S128" s="30">
        <v>45313.0</v>
      </c>
      <c r="T128" s="25" t="s">
        <v>415</v>
      </c>
      <c r="U128" s="25" t="s">
        <v>73</v>
      </c>
      <c r="V128" s="25" t="s">
        <v>596</v>
      </c>
      <c r="W128" s="25" t="s">
        <v>505</v>
      </c>
      <c r="X128" s="25" t="s">
        <v>432</v>
      </c>
      <c r="Y128" s="32">
        <v>5.67</v>
      </c>
      <c r="Z128" s="25" t="s">
        <v>419</v>
      </c>
      <c r="AA128" s="25" t="s">
        <v>943</v>
      </c>
      <c r="AB128" s="25" t="s">
        <v>72</v>
      </c>
      <c r="AC128" s="25" t="s">
        <v>149</v>
      </c>
      <c r="AD128" s="24">
        <v>2.0</v>
      </c>
      <c r="AE128" s="24">
        <v>1.0</v>
      </c>
    </row>
    <row r="129" ht="15.75" customHeight="1">
      <c r="A129" s="27" t="s">
        <v>1330</v>
      </c>
      <c r="B129" s="27" t="s">
        <v>590</v>
      </c>
      <c r="C129" s="27" t="s">
        <v>985</v>
      </c>
      <c r="D129" s="27" t="s">
        <v>1331</v>
      </c>
      <c r="E129" s="27" t="s">
        <v>424</v>
      </c>
      <c r="F129" s="33">
        <v>33785.0</v>
      </c>
      <c r="G129" s="27" t="s">
        <v>409</v>
      </c>
      <c r="H129" s="34">
        <v>12.0</v>
      </c>
      <c r="I129" s="27" t="s">
        <v>60</v>
      </c>
      <c r="J129" s="27" t="s">
        <v>60</v>
      </c>
      <c r="K129" s="27" t="s">
        <v>1295</v>
      </c>
      <c r="L129" s="27" t="s">
        <v>55</v>
      </c>
      <c r="M129" s="27" t="s">
        <v>188</v>
      </c>
      <c r="N129" s="27" t="s">
        <v>921</v>
      </c>
      <c r="O129" s="35" t="s">
        <v>1332</v>
      </c>
      <c r="P129" s="27" t="s">
        <v>1333</v>
      </c>
      <c r="Q129" s="27" t="s">
        <v>1334</v>
      </c>
      <c r="R129" s="27" t="s">
        <v>1335</v>
      </c>
      <c r="S129" s="33">
        <v>45266.0</v>
      </c>
      <c r="T129" s="27" t="s">
        <v>415</v>
      </c>
      <c r="U129" s="27" t="s">
        <v>65</v>
      </c>
      <c r="V129" s="27" t="s">
        <v>533</v>
      </c>
      <c r="W129" s="27" t="s">
        <v>720</v>
      </c>
      <c r="X129" s="27" t="s">
        <v>463</v>
      </c>
      <c r="Y129" s="36">
        <v>6.75</v>
      </c>
      <c r="Z129" s="27" t="s">
        <v>419</v>
      </c>
      <c r="AA129" s="27" t="s">
        <v>943</v>
      </c>
      <c r="AB129" s="27" t="s">
        <v>72</v>
      </c>
      <c r="AC129" s="27" t="s">
        <v>169</v>
      </c>
      <c r="AD129" s="26">
        <v>2.0</v>
      </c>
      <c r="AE129" s="26">
        <v>2.0</v>
      </c>
    </row>
    <row r="130" ht="15.75" customHeight="1">
      <c r="A130" s="25" t="s">
        <v>1336</v>
      </c>
      <c r="B130" s="25" t="s">
        <v>1244</v>
      </c>
      <c r="C130" s="25" t="s">
        <v>477</v>
      </c>
      <c r="D130" s="25" t="s">
        <v>1337</v>
      </c>
      <c r="E130" s="25" t="s">
        <v>408</v>
      </c>
      <c r="F130" s="30">
        <v>34814.0</v>
      </c>
      <c r="G130" s="25" t="s">
        <v>409</v>
      </c>
      <c r="H130" s="31">
        <v>12.0</v>
      </c>
      <c r="I130" s="25" t="s">
        <v>60</v>
      </c>
      <c r="J130" s="25" t="s">
        <v>60</v>
      </c>
      <c r="K130" s="25" t="s">
        <v>1295</v>
      </c>
      <c r="L130" s="25" t="s">
        <v>19</v>
      </c>
      <c r="M130" s="25" t="s">
        <v>215</v>
      </c>
      <c r="N130" s="25" t="s">
        <v>909</v>
      </c>
      <c r="O130" s="28" t="s">
        <v>1338</v>
      </c>
      <c r="P130" s="25" t="s">
        <v>1339</v>
      </c>
      <c r="Q130" s="25" t="s">
        <v>1340</v>
      </c>
      <c r="R130" s="25" t="s">
        <v>1341</v>
      </c>
      <c r="S130" s="30">
        <v>45014.0</v>
      </c>
      <c r="T130" s="25" t="s">
        <v>415</v>
      </c>
      <c r="U130" s="25" t="s">
        <v>65</v>
      </c>
      <c r="V130" s="25" t="s">
        <v>570</v>
      </c>
      <c r="W130" s="25" t="s">
        <v>728</v>
      </c>
      <c r="X130" s="25" t="s">
        <v>474</v>
      </c>
      <c r="Y130" s="32">
        <v>5.39</v>
      </c>
      <c r="Z130" s="25" t="s">
        <v>419</v>
      </c>
      <c r="AA130" s="25" t="s">
        <v>943</v>
      </c>
      <c r="AB130" s="25" t="s">
        <v>72</v>
      </c>
      <c r="AC130" s="25" t="s">
        <v>149</v>
      </c>
      <c r="AD130" s="24">
        <v>2.0</v>
      </c>
      <c r="AE130" s="24">
        <v>0.0</v>
      </c>
    </row>
    <row r="131" ht="15.75" customHeight="1">
      <c r="A131" s="27" t="s">
        <v>1342</v>
      </c>
      <c r="B131" s="27" t="s">
        <v>1096</v>
      </c>
      <c r="C131" s="27" t="s">
        <v>477</v>
      </c>
      <c r="D131" s="27" t="s">
        <v>1343</v>
      </c>
      <c r="E131" s="27" t="s">
        <v>408</v>
      </c>
      <c r="F131" s="33">
        <v>36377.0</v>
      </c>
      <c r="G131" s="27" t="s">
        <v>409</v>
      </c>
      <c r="H131" s="34">
        <v>12.0</v>
      </c>
      <c r="I131" s="27" t="s">
        <v>60</v>
      </c>
      <c r="J131" s="27" t="s">
        <v>60</v>
      </c>
      <c r="K131" s="27" t="s">
        <v>1295</v>
      </c>
      <c r="L131" s="27" t="s">
        <v>27</v>
      </c>
      <c r="M131" s="27" t="s">
        <v>192</v>
      </c>
      <c r="N131" s="27" t="s">
        <v>868</v>
      </c>
      <c r="O131" s="35" t="s">
        <v>1344</v>
      </c>
      <c r="P131" s="27" t="s">
        <v>1345</v>
      </c>
      <c r="Q131" s="27" t="s">
        <v>1346</v>
      </c>
      <c r="R131" s="27" t="s">
        <v>1347</v>
      </c>
      <c r="S131" s="33">
        <v>45176.0</v>
      </c>
      <c r="T131" s="27" t="s">
        <v>495</v>
      </c>
      <c r="U131" s="27" t="s">
        <v>65</v>
      </c>
      <c r="V131" s="27" t="s">
        <v>560</v>
      </c>
      <c r="W131" s="27" t="s">
        <v>473</v>
      </c>
      <c r="X131" s="27" t="s">
        <v>543</v>
      </c>
      <c r="Y131" s="36">
        <v>4.74</v>
      </c>
      <c r="Z131" s="27" t="s">
        <v>419</v>
      </c>
      <c r="AA131" s="27" t="s">
        <v>943</v>
      </c>
      <c r="AB131" s="27" t="s">
        <v>74</v>
      </c>
      <c r="AC131" s="27" t="s">
        <v>153</v>
      </c>
      <c r="AD131" s="26">
        <v>2.0</v>
      </c>
      <c r="AE131" s="26">
        <v>3.0</v>
      </c>
    </row>
    <row r="132" ht="15.75" customHeight="1">
      <c r="A132" s="25" t="s">
        <v>1348</v>
      </c>
      <c r="B132" s="25" t="s">
        <v>1349</v>
      </c>
      <c r="C132" s="25" t="s">
        <v>583</v>
      </c>
      <c r="D132" s="25" t="s">
        <v>1350</v>
      </c>
      <c r="E132" s="25" t="s">
        <v>408</v>
      </c>
      <c r="F132" s="30">
        <v>34744.0</v>
      </c>
      <c r="G132" s="25" t="s">
        <v>409</v>
      </c>
      <c r="H132" s="31">
        <v>12.0</v>
      </c>
      <c r="I132" s="25" t="s">
        <v>60</v>
      </c>
      <c r="J132" s="25" t="s">
        <v>60</v>
      </c>
      <c r="K132" s="25" t="s">
        <v>1295</v>
      </c>
      <c r="L132" s="25" t="s">
        <v>19</v>
      </c>
      <c r="M132" s="25" t="s">
        <v>210</v>
      </c>
      <c r="N132" s="25" t="s">
        <v>883</v>
      </c>
      <c r="O132" s="28" t="s">
        <v>1351</v>
      </c>
      <c r="P132" s="25" t="s">
        <v>1352</v>
      </c>
      <c r="Q132" s="25" t="s">
        <v>1353</v>
      </c>
      <c r="R132" s="25" t="s">
        <v>1354</v>
      </c>
      <c r="S132" s="30">
        <v>45518.0</v>
      </c>
      <c r="T132" s="25" t="s">
        <v>415</v>
      </c>
      <c r="U132" s="25" t="s">
        <v>65</v>
      </c>
      <c r="V132" s="25" t="s">
        <v>570</v>
      </c>
      <c r="W132" s="25" t="s">
        <v>485</v>
      </c>
      <c r="X132" s="25" t="s">
        <v>486</v>
      </c>
      <c r="Y132" s="32">
        <v>5.96</v>
      </c>
      <c r="Z132" s="25" t="s">
        <v>419</v>
      </c>
      <c r="AA132" s="25" t="s">
        <v>943</v>
      </c>
      <c r="AB132" s="25" t="s">
        <v>76</v>
      </c>
      <c r="AC132" s="25" t="s">
        <v>149</v>
      </c>
      <c r="AD132" s="24">
        <v>2.0</v>
      </c>
      <c r="AE132" s="24">
        <v>2.0</v>
      </c>
    </row>
    <row r="133" ht="15.75" customHeight="1">
      <c r="A133" s="27" t="s">
        <v>1355</v>
      </c>
      <c r="B133" s="27" t="s">
        <v>553</v>
      </c>
      <c r="C133" s="27" t="s">
        <v>731</v>
      </c>
      <c r="D133" s="27" t="s">
        <v>1356</v>
      </c>
      <c r="E133" s="27" t="s">
        <v>424</v>
      </c>
      <c r="F133" s="33">
        <v>36937.0</v>
      </c>
      <c r="G133" s="27" t="s">
        <v>409</v>
      </c>
      <c r="H133" s="34">
        <v>12.0</v>
      </c>
      <c r="I133" s="27" t="s">
        <v>60</v>
      </c>
      <c r="J133" s="27" t="s">
        <v>60</v>
      </c>
      <c r="K133" s="27" t="s">
        <v>1295</v>
      </c>
      <c r="L133" s="27" t="s">
        <v>31</v>
      </c>
      <c r="M133" s="27" t="s">
        <v>196</v>
      </c>
      <c r="N133" s="27" t="s">
        <v>855</v>
      </c>
      <c r="O133" s="35" t="s">
        <v>1357</v>
      </c>
      <c r="P133" s="27" t="s">
        <v>1358</v>
      </c>
      <c r="Q133" s="27" t="s">
        <v>1359</v>
      </c>
      <c r="R133" s="27" t="s">
        <v>1360</v>
      </c>
      <c r="S133" s="33">
        <v>45556.0</v>
      </c>
      <c r="T133" s="27" t="s">
        <v>415</v>
      </c>
      <c r="U133" s="27" t="s">
        <v>65</v>
      </c>
      <c r="V133" s="27" t="s">
        <v>560</v>
      </c>
      <c r="W133" s="27" t="s">
        <v>697</v>
      </c>
      <c r="X133" s="27" t="s">
        <v>463</v>
      </c>
      <c r="Y133" s="36">
        <v>6.04</v>
      </c>
      <c r="Z133" s="27" t="s">
        <v>419</v>
      </c>
      <c r="AA133" s="27" t="s">
        <v>943</v>
      </c>
      <c r="AB133" s="27" t="s">
        <v>72</v>
      </c>
      <c r="AC133" s="27" t="s">
        <v>157</v>
      </c>
      <c r="AD133" s="26">
        <v>2.0</v>
      </c>
      <c r="AE133" s="26">
        <v>1.0</v>
      </c>
    </row>
    <row r="134" ht="15.75" customHeight="1">
      <c r="A134" s="25" t="s">
        <v>1361</v>
      </c>
      <c r="B134" s="25" t="s">
        <v>992</v>
      </c>
      <c r="C134" s="25" t="s">
        <v>970</v>
      </c>
      <c r="D134" s="25" t="s">
        <v>1362</v>
      </c>
      <c r="E134" s="25" t="s">
        <v>424</v>
      </c>
      <c r="F134" s="30">
        <v>34370.0</v>
      </c>
      <c r="G134" s="25" t="s">
        <v>409</v>
      </c>
      <c r="H134" s="31">
        <v>12.0</v>
      </c>
      <c r="I134" s="25" t="s">
        <v>60</v>
      </c>
      <c r="J134" s="25" t="s">
        <v>60</v>
      </c>
      <c r="K134" s="25" t="s">
        <v>1295</v>
      </c>
      <c r="L134" s="25" t="s">
        <v>35</v>
      </c>
      <c r="M134" s="25" t="s">
        <v>205</v>
      </c>
      <c r="N134" s="25" t="s">
        <v>837</v>
      </c>
      <c r="O134" s="28" t="s">
        <v>1363</v>
      </c>
      <c r="P134" s="25" t="s">
        <v>1364</v>
      </c>
      <c r="Q134" s="25" t="s">
        <v>1365</v>
      </c>
      <c r="R134" s="25" t="s">
        <v>1366</v>
      </c>
      <c r="S134" s="30">
        <v>45388.0</v>
      </c>
      <c r="T134" s="25" t="s">
        <v>415</v>
      </c>
      <c r="U134" s="25" t="s">
        <v>65</v>
      </c>
      <c r="V134" s="25" t="s">
        <v>533</v>
      </c>
      <c r="W134" s="25" t="s">
        <v>681</v>
      </c>
      <c r="X134" s="25" t="s">
        <v>432</v>
      </c>
      <c r="Y134" s="32">
        <v>6.61</v>
      </c>
      <c r="Z134" s="25" t="s">
        <v>419</v>
      </c>
      <c r="AA134" s="25" t="s">
        <v>943</v>
      </c>
      <c r="AB134" s="25" t="s">
        <v>72</v>
      </c>
      <c r="AC134" s="25" t="s">
        <v>160</v>
      </c>
      <c r="AD134" s="24">
        <v>2.0</v>
      </c>
      <c r="AE134" s="24">
        <v>0.0</v>
      </c>
    </row>
    <row r="135" ht="15.75" customHeight="1">
      <c r="A135" s="27" t="s">
        <v>1367</v>
      </c>
      <c r="B135" s="27" t="s">
        <v>621</v>
      </c>
      <c r="C135" s="27" t="s">
        <v>1005</v>
      </c>
      <c r="D135" s="27" t="s">
        <v>1368</v>
      </c>
      <c r="E135" s="27" t="s">
        <v>408</v>
      </c>
      <c r="F135" s="33">
        <v>34729.0</v>
      </c>
      <c r="G135" s="27" t="s">
        <v>409</v>
      </c>
      <c r="H135" s="34">
        <v>12.0</v>
      </c>
      <c r="I135" s="27" t="s">
        <v>60</v>
      </c>
      <c r="J135" s="27" t="s">
        <v>60</v>
      </c>
      <c r="K135" s="27" t="s">
        <v>1295</v>
      </c>
      <c r="L135" s="27" t="s">
        <v>23</v>
      </c>
      <c r="M135" s="27" t="s">
        <v>200</v>
      </c>
      <c r="N135" s="27" t="s">
        <v>801</v>
      </c>
      <c r="O135" s="35" t="s">
        <v>1369</v>
      </c>
      <c r="P135" s="27" t="s">
        <v>1370</v>
      </c>
      <c r="Q135" s="27" t="s">
        <v>1371</v>
      </c>
      <c r="R135" s="27" t="s">
        <v>1372</v>
      </c>
      <c r="S135" s="33">
        <v>45477.0</v>
      </c>
      <c r="T135" s="27" t="s">
        <v>1373</v>
      </c>
      <c r="U135" s="27" t="s">
        <v>65</v>
      </c>
      <c r="V135" s="27" t="s">
        <v>461</v>
      </c>
      <c r="W135" s="27" t="s">
        <v>473</v>
      </c>
      <c r="X135" s="27" t="s">
        <v>418</v>
      </c>
      <c r="Y135" s="36">
        <v>4.46</v>
      </c>
      <c r="Z135" s="27" t="s">
        <v>419</v>
      </c>
      <c r="AA135" s="27" t="s">
        <v>943</v>
      </c>
      <c r="AB135" s="27" t="s">
        <v>74</v>
      </c>
      <c r="AC135" s="27" t="s">
        <v>151</v>
      </c>
      <c r="AD135" s="26">
        <v>2.0</v>
      </c>
      <c r="AE135" s="26">
        <v>3.0</v>
      </c>
    </row>
    <row r="136" ht="15.75" customHeight="1">
      <c r="A136" s="25" t="s">
        <v>1374</v>
      </c>
      <c r="B136" s="25" t="s">
        <v>795</v>
      </c>
      <c r="C136" s="25" t="s">
        <v>738</v>
      </c>
      <c r="D136" s="25" t="s">
        <v>1375</v>
      </c>
      <c r="E136" s="25" t="s">
        <v>408</v>
      </c>
      <c r="F136" s="30">
        <v>37187.0</v>
      </c>
      <c r="G136" s="25" t="s">
        <v>409</v>
      </c>
      <c r="H136" s="31">
        <v>12.0</v>
      </c>
      <c r="I136" s="25" t="s">
        <v>60</v>
      </c>
      <c r="J136" s="25" t="s">
        <v>60</v>
      </c>
      <c r="K136" s="25" t="s">
        <v>1295</v>
      </c>
      <c r="L136" s="25" t="s">
        <v>19</v>
      </c>
      <c r="M136" s="25" t="s">
        <v>205</v>
      </c>
      <c r="N136" s="25" t="s">
        <v>868</v>
      </c>
      <c r="O136" s="28" t="s">
        <v>1376</v>
      </c>
      <c r="P136" s="25" t="s">
        <v>1377</v>
      </c>
      <c r="Q136" s="25" t="s">
        <v>1378</v>
      </c>
      <c r="R136" s="25" t="s">
        <v>1379</v>
      </c>
      <c r="S136" s="30">
        <v>45387.0</v>
      </c>
      <c r="T136" s="25" t="s">
        <v>495</v>
      </c>
      <c r="U136" s="25" t="s">
        <v>65</v>
      </c>
      <c r="V136" s="25" t="s">
        <v>533</v>
      </c>
      <c r="W136" s="25" t="s">
        <v>681</v>
      </c>
      <c r="X136" s="25" t="s">
        <v>463</v>
      </c>
      <c r="Y136" s="32">
        <v>7.24</v>
      </c>
      <c r="Z136" s="25" t="s">
        <v>419</v>
      </c>
      <c r="AA136" s="25" t="s">
        <v>943</v>
      </c>
      <c r="AB136" s="25" t="s">
        <v>74</v>
      </c>
      <c r="AC136" s="25" t="s">
        <v>149</v>
      </c>
      <c r="AD136" s="24">
        <v>2.0</v>
      </c>
      <c r="AE136" s="24">
        <v>1.0</v>
      </c>
    </row>
    <row r="137" ht="15.75" customHeight="1">
      <c r="A137" s="27" t="s">
        <v>1380</v>
      </c>
      <c r="B137" s="27" t="s">
        <v>488</v>
      </c>
      <c r="C137" s="27" t="s">
        <v>554</v>
      </c>
      <c r="D137" s="27" t="s">
        <v>1381</v>
      </c>
      <c r="E137" s="27" t="s">
        <v>408</v>
      </c>
      <c r="F137" s="33">
        <v>35040.0</v>
      </c>
      <c r="G137" s="27" t="s">
        <v>409</v>
      </c>
      <c r="H137" s="34">
        <v>12.0</v>
      </c>
      <c r="I137" s="27" t="s">
        <v>60</v>
      </c>
      <c r="J137" s="27" t="s">
        <v>60</v>
      </c>
      <c r="K137" s="27" t="s">
        <v>1295</v>
      </c>
      <c r="L137" s="27" t="s">
        <v>31</v>
      </c>
      <c r="M137" s="27" t="s">
        <v>183</v>
      </c>
      <c r="N137" s="27" t="s">
        <v>928</v>
      </c>
      <c r="O137" s="35" t="s">
        <v>1382</v>
      </c>
      <c r="P137" s="27" t="s">
        <v>1383</v>
      </c>
      <c r="Q137" s="27" t="s">
        <v>1384</v>
      </c>
      <c r="R137" s="27" t="s">
        <v>1385</v>
      </c>
      <c r="S137" s="33">
        <v>45538.0</v>
      </c>
      <c r="T137" s="27" t="s">
        <v>415</v>
      </c>
      <c r="U137" s="27" t="s">
        <v>73</v>
      </c>
      <c r="V137" s="27" t="s">
        <v>612</v>
      </c>
      <c r="W137" s="27" t="s">
        <v>462</v>
      </c>
      <c r="X137" s="27" t="s">
        <v>463</v>
      </c>
      <c r="Y137" s="36">
        <v>7.6</v>
      </c>
      <c r="Z137" s="27" t="s">
        <v>419</v>
      </c>
      <c r="AA137" s="27" t="s">
        <v>943</v>
      </c>
      <c r="AB137" s="27" t="s">
        <v>76</v>
      </c>
      <c r="AC137" s="27" t="s">
        <v>157</v>
      </c>
      <c r="AD137" s="26">
        <v>2.0</v>
      </c>
      <c r="AE137" s="26">
        <v>1.0</v>
      </c>
    </row>
    <row r="138" ht="15.75" customHeight="1">
      <c r="A138" s="25" t="s">
        <v>1386</v>
      </c>
      <c r="B138" s="25" t="s">
        <v>1387</v>
      </c>
      <c r="C138" s="25" t="s">
        <v>489</v>
      </c>
      <c r="D138" s="25" t="s">
        <v>1388</v>
      </c>
      <c r="E138" s="25" t="s">
        <v>408</v>
      </c>
      <c r="F138" s="30">
        <v>36722.0</v>
      </c>
      <c r="G138" s="25" t="s">
        <v>468</v>
      </c>
      <c r="H138" s="31">
        <v>12.0</v>
      </c>
      <c r="I138" s="25" t="s">
        <v>60</v>
      </c>
      <c r="J138" s="25" t="s">
        <v>60</v>
      </c>
      <c r="K138" s="25" t="s">
        <v>1295</v>
      </c>
      <c r="L138" s="25" t="s">
        <v>19</v>
      </c>
      <c r="M138" s="25" t="s">
        <v>192</v>
      </c>
      <c r="N138" s="25" t="s">
        <v>849</v>
      </c>
      <c r="O138" s="28" t="s">
        <v>1389</v>
      </c>
      <c r="P138" s="25" t="s">
        <v>1390</v>
      </c>
      <c r="Q138" s="25" t="s">
        <v>1391</v>
      </c>
      <c r="R138" s="25" t="s">
        <v>1392</v>
      </c>
      <c r="S138" s="30">
        <v>45428.0</v>
      </c>
      <c r="T138" s="25" t="s">
        <v>415</v>
      </c>
      <c r="U138" s="25" t="s">
        <v>65</v>
      </c>
      <c r="V138" s="25" t="s">
        <v>612</v>
      </c>
      <c r="W138" s="25" t="s">
        <v>452</v>
      </c>
      <c r="X138" s="25" t="s">
        <v>474</v>
      </c>
      <c r="Y138" s="32">
        <v>4.37</v>
      </c>
      <c r="Z138" s="25" t="s">
        <v>419</v>
      </c>
      <c r="AA138" s="25" t="s">
        <v>943</v>
      </c>
      <c r="AB138" s="25" t="s">
        <v>72</v>
      </c>
      <c r="AC138" s="25" t="s">
        <v>149</v>
      </c>
      <c r="AD138" s="24">
        <v>2.0</v>
      </c>
      <c r="AE138" s="24">
        <v>0.0</v>
      </c>
    </row>
    <row r="139" ht="15.75" customHeight="1">
      <c r="A139" s="27" t="s">
        <v>1393</v>
      </c>
      <c r="B139" s="27" t="s">
        <v>1394</v>
      </c>
      <c r="C139" s="27" t="s">
        <v>645</v>
      </c>
      <c r="D139" s="27" t="s">
        <v>1395</v>
      </c>
      <c r="E139" s="27" t="s">
        <v>424</v>
      </c>
      <c r="F139" s="33">
        <v>36863.0</v>
      </c>
      <c r="G139" s="27" t="s">
        <v>409</v>
      </c>
      <c r="H139" s="34">
        <v>12.0</v>
      </c>
      <c r="I139" s="27" t="s">
        <v>60</v>
      </c>
      <c r="J139" s="27" t="s">
        <v>60</v>
      </c>
      <c r="K139" s="27" t="s">
        <v>1295</v>
      </c>
      <c r="L139" s="27" t="s">
        <v>55</v>
      </c>
      <c r="M139" s="27" t="s">
        <v>205</v>
      </c>
      <c r="N139" s="27" t="s">
        <v>801</v>
      </c>
      <c r="O139" s="35" t="s">
        <v>1396</v>
      </c>
      <c r="P139" s="27" t="s">
        <v>1397</v>
      </c>
      <c r="Q139" s="27" t="s">
        <v>1398</v>
      </c>
      <c r="R139" s="27" t="s">
        <v>1399</v>
      </c>
      <c r="S139" s="33">
        <v>45150.0</v>
      </c>
      <c r="T139" s="27" t="s">
        <v>1373</v>
      </c>
      <c r="U139" s="27" t="s">
        <v>65</v>
      </c>
      <c r="V139" s="27" t="s">
        <v>596</v>
      </c>
      <c r="W139" s="27" t="s">
        <v>485</v>
      </c>
      <c r="X139" s="27" t="s">
        <v>619</v>
      </c>
      <c r="Y139" s="36">
        <v>6.26</v>
      </c>
      <c r="Z139" s="27" t="s">
        <v>419</v>
      </c>
      <c r="AA139" s="27" t="s">
        <v>943</v>
      </c>
      <c r="AB139" s="27" t="s">
        <v>72</v>
      </c>
      <c r="AC139" s="27" t="s">
        <v>169</v>
      </c>
      <c r="AD139" s="26">
        <v>2.0</v>
      </c>
      <c r="AE139" s="26">
        <v>0.0</v>
      </c>
    </row>
    <row r="140" ht="15.75" customHeight="1">
      <c r="A140" s="25" t="s">
        <v>1400</v>
      </c>
      <c r="B140" s="25" t="s">
        <v>444</v>
      </c>
      <c r="C140" s="25" t="s">
        <v>499</v>
      </c>
      <c r="D140" s="25" t="s">
        <v>1401</v>
      </c>
      <c r="E140" s="25" t="s">
        <v>408</v>
      </c>
      <c r="F140" s="30">
        <v>35473.0</v>
      </c>
      <c r="G140" s="25" t="s">
        <v>468</v>
      </c>
      <c r="H140" s="31">
        <v>12.0</v>
      </c>
      <c r="I140" s="25" t="s">
        <v>60</v>
      </c>
      <c r="J140" s="25" t="s">
        <v>60</v>
      </c>
      <c r="K140" s="25" t="s">
        <v>1295</v>
      </c>
      <c r="L140" s="25" t="s">
        <v>19</v>
      </c>
      <c r="M140" s="25" t="s">
        <v>196</v>
      </c>
      <c r="N140" s="25" t="s">
        <v>855</v>
      </c>
      <c r="O140" s="28" t="s">
        <v>1402</v>
      </c>
      <c r="P140" s="25" t="s">
        <v>1403</v>
      </c>
      <c r="Q140" s="25" t="s">
        <v>1404</v>
      </c>
      <c r="R140" s="25" t="s">
        <v>1405</v>
      </c>
      <c r="S140" s="30">
        <v>45365.0</v>
      </c>
      <c r="T140" s="25" t="s">
        <v>415</v>
      </c>
      <c r="U140" s="25" t="s">
        <v>65</v>
      </c>
      <c r="V140" s="25" t="s">
        <v>570</v>
      </c>
      <c r="W140" s="25" t="s">
        <v>580</v>
      </c>
      <c r="X140" s="25" t="s">
        <v>543</v>
      </c>
      <c r="Y140" s="32">
        <v>4.37</v>
      </c>
      <c r="Z140" s="25" t="s">
        <v>419</v>
      </c>
      <c r="AA140" s="25" t="s">
        <v>943</v>
      </c>
      <c r="AB140" s="25" t="s">
        <v>72</v>
      </c>
      <c r="AC140" s="25" t="s">
        <v>149</v>
      </c>
      <c r="AD140" s="24">
        <v>2.0</v>
      </c>
      <c r="AE140" s="24">
        <v>2.0</v>
      </c>
    </row>
    <row r="141" ht="15.75" customHeight="1">
      <c r="A141" s="27" t="s">
        <v>1406</v>
      </c>
      <c r="B141" s="27" t="s">
        <v>1407</v>
      </c>
      <c r="C141" s="27" t="s">
        <v>758</v>
      </c>
      <c r="D141" s="27" t="s">
        <v>1408</v>
      </c>
      <c r="E141" s="27" t="s">
        <v>408</v>
      </c>
      <c r="F141" s="33">
        <v>36486.0</v>
      </c>
      <c r="G141" s="27" t="s">
        <v>409</v>
      </c>
      <c r="H141" s="34">
        <v>12.0</v>
      </c>
      <c r="I141" s="27" t="s">
        <v>60</v>
      </c>
      <c r="J141" s="27" t="s">
        <v>60</v>
      </c>
      <c r="K141" s="27" t="s">
        <v>1295</v>
      </c>
      <c r="L141" s="27" t="s">
        <v>19</v>
      </c>
      <c r="M141" s="27" t="s">
        <v>177</v>
      </c>
      <c r="N141" s="27" t="s">
        <v>808</v>
      </c>
      <c r="O141" s="35" t="s">
        <v>1409</v>
      </c>
      <c r="P141" s="27" t="s">
        <v>1410</v>
      </c>
      <c r="Q141" s="27" t="s">
        <v>1411</v>
      </c>
      <c r="R141" s="27" t="s">
        <v>1412</v>
      </c>
      <c r="S141" s="33">
        <v>44928.0</v>
      </c>
      <c r="T141" s="27" t="s">
        <v>1373</v>
      </c>
      <c r="U141" s="27" t="s">
        <v>65</v>
      </c>
      <c r="V141" s="27" t="s">
        <v>461</v>
      </c>
      <c r="W141" s="27" t="s">
        <v>542</v>
      </c>
      <c r="X141" s="27" t="s">
        <v>543</v>
      </c>
      <c r="Y141" s="36">
        <v>7.27</v>
      </c>
      <c r="Z141" s="27" t="s">
        <v>419</v>
      </c>
      <c r="AA141" s="27" t="s">
        <v>943</v>
      </c>
      <c r="AB141" s="27" t="s">
        <v>76</v>
      </c>
      <c r="AC141" s="27" t="s">
        <v>149</v>
      </c>
      <c r="AD141" s="26">
        <v>2.0</v>
      </c>
      <c r="AE141" s="26">
        <v>0.0</v>
      </c>
    </row>
    <row r="142" ht="15.75" customHeight="1">
      <c r="A142" s="25" t="s">
        <v>1413</v>
      </c>
      <c r="B142" s="25" t="s">
        <v>1269</v>
      </c>
      <c r="C142" s="25" t="s">
        <v>936</v>
      </c>
      <c r="D142" s="25" t="s">
        <v>1414</v>
      </c>
      <c r="E142" s="25" t="s">
        <v>408</v>
      </c>
      <c r="F142" s="30">
        <v>35109.0</v>
      </c>
      <c r="G142" s="25" t="s">
        <v>409</v>
      </c>
      <c r="H142" s="31">
        <v>12.0</v>
      </c>
      <c r="I142" s="25" t="s">
        <v>60</v>
      </c>
      <c r="J142" s="25" t="s">
        <v>60</v>
      </c>
      <c r="K142" s="25" t="s">
        <v>1295</v>
      </c>
      <c r="L142" s="25" t="s">
        <v>23</v>
      </c>
      <c r="M142" s="25" t="s">
        <v>200</v>
      </c>
      <c r="N142" s="25" t="s">
        <v>903</v>
      </c>
      <c r="O142" s="28" t="s">
        <v>1415</v>
      </c>
      <c r="P142" s="25" t="s">
        <v>1416</v>
      </c>
      <c r="Q142" s="25" t="s">
        <v>1417</v>
      </c>
      <c r="R142" s="25" t="s">
        <v>1418</v>
      </c>
      <c r="S142" s="30">
        <v>45067.0</v>
      </c>
      <c r="T142" s="25" t="s">
        <v>495</v>
      </c>
      <c r="U142" s="25" t="s">
        <v>65</v>
      </c>
      <c r="V142" s="25" t="s">
        <v>441</v>
      </c>
      <c r="W142" s="25" t="s">
        <v>462</v>
      </c>
      <c r="X142" s="25" t="s">
        <v>543</v>
      </c>
      <c r="Y142" s="32">
        <v>4.03</v>
      </c>
      <c r="Z142" s="25" t="s">
        <v>419</v>
      </c>
      <c r="AA142" s="25" t="s">
        <v>943</v>
      </c>
      <c r="AB142" s="25" t="s">
        <v>74</v>
      </c>
      <c r="AC142" s="25" t="s">
        <v>151</v>
      </c>
      <c r="AD142" s="24">
        <v>2.0</v>
      </c>
      <c r="AE142" s="24">
        <v>3.0</v>
      </c>
    </row>
    <row r="143" ht="15.75" customHeight="1">
      <c r="A143" s="27" t="s">
        <v>1419</v>
      </c>
      <c r="B143" s="27" t="s">
        <v>706</v>
      </c>
      <c r="C143" s="27" t="s">
        <v>477</v>
      </c>
      <c r="D143" s="27" t="s">
        <v>1420</v>
      </c>
      <c r="E143" s="27" t="s">
        <v>408</v>
      </c>
      <c r="F143" s="33">
        <v>34177.0</v>
      </c>
      <c r="G143" s="27" t="s">
        <v>409</v>
      </c>
      <c r="H143" s="34">
        <v>12.0</v>
      </c>
      <c r="I143" s="27" t="s">
        <v>60</v>
      </c>
      <c r="J143" s="27" t="s">
        <v>60</v>
      </c>
      <c r="K143" s="27" t="s">
        <v>1295</v>
      </c>
      <c r="L143" s="27" t="s">
        <v>39</v>
      </c>
      <c r="M143" s="27" t="s">
        <v>183</v>
      </c>
      <c r="N143" s="27" t="s">
        <v>909</v>
      </c>
      <c r="O143" s="35" t="s">
        <v>1421</v>
      </c>
      <c r="P143" s="27" t="s">
        <v>1422</v>
      </c>
      <c r="Q143" s="27" t="s">
        <v>1423</v>
      </c>
      <c r="R143" s="27" t="s">
        <v>1424</v>
      </c>
      <c r="S143" s="33">
        <v>45530.0</v>
      </c>
      <c r="T143" s="27" t="s">
        <v>415</v>
      </c>
      <c r="U143" s="27" t="s">
        <v>65</v>
      </c>
      <c r="V143" s="27" t="s">
        <v>596</v>
      </c>
      <c r="W143" s="27" t="s">
        <v>728</v>
      </c>
      <c r="X143" s="27" t="s">
        <v>418</v>
      </c>
      <c r="Y143" s="36">
        <v>6.21</v>
      </c>
      <c r="Z143" s="27" t="s">
        <v>419</v>
      </c>
      <c r="AA143" s="27" t="s">
        <v>943</v>
      </c>
      <c r="AB143" s="27" t="s">
        <v>74</v>
      </c>
      <c r="AC143" s="27" t="s">
        <v>163</v>
      </c>
      <c r="AD143" s="26">
        <v>2.0</v>
      </c>
      <c r="AE143" s="26">
        <v>1.0</v>
      </c>
    </row>
    <row r="144" ht="15.75" customHeight="1">
      <c r="A144" s="25" t="s">
        <v>1425</v>
      </c>
      <c r="B144" s="25" t="s">
        <v>992</v>
      </c>
      <c r="C144" s="25" t="s">
        <v>667</v>
      </c>
      <c r="D144" s="25" t="s">
        <v>1426</v>
      </c>
      <c r="E144" s="25" t="s">
        <v>424</v>
      </c>
      <c r="F144" s="30">
        <v>36814.0</v>
      </c>
      <c r="G144" s="25" t="s">
        <v>99</v>
      </c>
      <c r="H144" s="31">
        <v>12.0</v>
      </c>
      <c r="I144" s="25" t="s">
        <v>60</v>
      </c>
      <c r="J144" s="25" t="s">
        <v>60</v>
      </c>
      <c r="K144" s="25" t="s">
        <v>1295</v>
      </c>
      <c r="L144" s="25" t="s">
        <v>23</v>
      </c>
      <c r="M144" s="25" t="s">
        <v>183</v>
      </c>
      <c r="N144" s="25" t="s">
        <v>875</v>
      </c>
      <c r="O144" s="28" t="s">
        <v>1427</v>
      </c>
      <c r="P144" s="25" t="s">
        <v>1428</v>
      </c>
      <c r="Q144" s="25" t="s">
        <v>1429</v>
      </c>
      <c r="R144" s="25" t="s">
        <v>1430</v>
      </c>
      <c r="S144" s="30">
        <v>45433.0</v>
      </c>
      <c r="T144" s="25" t="s">
        <v>415</v>
      </c>
      <c r="U144" s="25" t="s">
        <v>75</v>
      </c>
      <c r="V144" s="25" t="s">
        <v>612</v>
      </c>
      <c r="W144" s="25" t="s">
        <v>681</v>
      </c>
      <c r="X144" s="25" t="s">
        <v>619</v>
      </c>
      <c r="Y144" s="32">
        <v>7.74</v>
      </c>
      <c r="Z144" s="25" t="s">
        <v>419</v>
      </c>
      <c r="AA144" s="25" t="s">
        <v>943</v>
      </c>
      <c r="AB144" s="25" t="s">
        <v>72</v>
      </c>
      <c r="AC144" s="25" t="s">
        <v>151</v>
      </c>
      <c r="AD144" s="24">
        <v>2.0</v>
      </c>
      <c r="AE144" s="24">
        <v>0.0</v>
      </c>
    </row>
    <row r="145" ht="15.75" customHeight="1">
      <c r="A145" s="27" t="s">
        <v>1431</v>
      </c>
      <c r="B145" s="27" t="s">
        <v>545</v>
      </c>
      <c r="C145" s="27" t="s">
        <v>645</v>
      </c>
      <c r="D145" s="27" t="s">
        <v>1432</v>
      </c>
      <c r="E145" s="27" t="s">
        <v>408</v>
      </c>
      <c r="F145" s="33">
        <v>33660.0</v>
      </c>
      <c r="G145" s="27" t="s">
        <v>409</v>
      </c>
      <c r="H145" s="34">
        <v>12.0</v>
      </c>
      <c r="I145" s="27" t="s">
        <v>60</v>
      </c>
      <c r="J145" s="27" t="s">
        <v>60</v>
      </c>
      <c r="K145" s="27" t="s">
        <v>1295</v>
      </c>
      <c r="L145" s="27" t="s">
        <v>19</v>
      </c>
      <c r="M145" s="27" t="s">
        <v>177</v>
      </c>
      <c r="N145" s="27" t="s">
        <v>921</v>
      </c>
      <c r="O145" s="35" t="s">
        <v>1433</v>
      </c>
      <c r="P145" s="27" t="s">
        <v>1434</v>
      </c>
      <c r="Q145" s="27" t="s">
        <v>1435</v>
      </c>
      <c r="R145" s="27" t="s">
        <v>1436</v>
      </c>
      <c r="S145" s="33">
        <v>45147.0</v>
      </c>
      <c r="T145" s="27" t="s">
        <v>415</v>
      </c>
      <c r="U145" s="27" t="s">
        <v>65</v>
      </c>
      <c r="V145" s="27" t="s">
        <v>441</v>
      </c>
      <c r="W145" s="27" t="s">
        <v>442</v>
      </c>
      <c r="X145" s="27" t="s">
        <v>432</v>
      </c>
      <c r="Y145" s="36">
        <v>5.69</v>
      </c>
      <c r="Z145" s="27" t="s">
        <v>419</v>
      </c>
      <c r="AA145" s="27" t="s">
        <v>943</v>
      </c>
      <c r="AB145" s="27" t="s">
        <v>72</v>
      </c>
      <c r="AC145" s="27" t="s">
        <v>149</v>
      </c>
      <c r="AD145" s="26">
        <v>2.0</v>
      </c>
      <c r="AE145" s="26">
        <v>2.0</v>
      </c>
    </row>
    <row r="146" ht="15.75" customHeight="1">
      <c r="A146" s="25" t="s">
        <v>1437</v>
      </c>
      <c r="B146" s="25" t="s">
        <v>476</v>
      </c>
      <c r="C146" s="25" t="s">
        <v>583</v>
      </c>
      <c r="D146" s="25" t="s">
        <v>1438</v>
      </c>
      <c r="E146" s="25" t="s">
        <v>408</v>
      </c>
      <c r="F146" s="30">
        <v>37594.0</v>
      </c>
      <c r="G146" s="25" t="s">
        <v>409</v>
      </c>
      <c r="H146" s="31">
        <v>12.0</v>
      </c>
      <c r="I146" s="25" t="s">
        <v>60</v>
      </c>
      <c r="J146" s="25" t="s">
        <v>60</v>
      </c>
      <c r="K146" s="25" t="s">
        <v>1295</v>
      </c>
      <c r="L146" s="25" t="s">
        <v>23</v>
      </c>
      <c r="M146" s="25" t="s">
        <v>192</v>
      </c>
      <c r="N146" s="25" t="s">
        <v>849</v>
      </c>
      <c r="O146" s="28" t="s">
        <v>1439</v>
      </c>
      <c r="P146" s="25" t="s">
        <v>1440</v>
      </c>
      <c r="Q146" s="25" t="s">
        <v>1441</v>
      </c>
      <c r="R146" s="25" t="s">
        <v>1442</v>
      </c>
      <c r="S146" s="30">
        <v>45476.0</v>
      </c>
      <c r="T146" s="25" t="s">
        <v>1373</v>
      </c>
      <c r="U146" s="25" t="s">
        <v>65</v>
      </c>
      <c r="V146" s="25" t="s">
        <v>441</v>
      </c>
      <c r="W146" s="25" t="s">
        <v>473</v>
      </c>
      <c r="X146" s="25" t="s">
        <v>474</v>
      </c>
      <c r="Y146" s="32">
        <v>6.92</v>
      </c>
      <c r="Z146" s="25" t="s">
        <v>419</v>
      </c>
      <c r="AA146" s="25" t="s">
        <v>943</v>
      </c>
      <c r="AB146" s="25" t="s">
        <v>76</v>
      </c>
      <c r="AC146" s="25" t="s">
        <v>151</v>
      </c>
      <c r="AD146" s="24">
        <v>2.0</v>
      </c>
      <c r="AE146" s="24">
        <v>2.0</v>
      </c>
    </row>
    <row r="147" ht="15.75" customHeight="1">
      <c r="A147" s="27" t="s">
        <v>1443</v>
      </c>
      <c r="B147" s="27" t="s">
        <v>1057</v>
      </c>
      <c r="C147" s="27" t="s">
        <v>1168</v>
      </c>
      <c r="D147" s="27" t="s">
        <v>1444</v>
      </c>
      <c r="E147" s="27" t="s">
        <v>408</v>
      </c>
      <c r="F147" s="33">
        <v>36503.0</v>
      </c>
      <c r="G147" s="27" t="s">
        <v>409</v>
      </c>
      <c r="H147" s="34">
        <v>12.0</v>
      </c>
      <c r="I147" s="27" t="s">
        <v>60</v>
      </c>
      <c r="J147" s="27" t="s">
        <v>60</v>
      </c>
      <c r="K147" s="27" t="s">
        <v>1295</v>
      </c>
      <c r="L147" s="27" t="s">
        <v>19</v>
      </c>
      <c r="M147" s="27" t="s">
        <v>188</v>
      </c>
      <c r="N147" s="27" t="s">
        <v>837</v>
      </c>
      <c r="O147" s="35" t="s">
        <v>1445</v>
      </c>
      <c r="P147" s="27" t="s">
        <v>1446</v>
      </c>
      <c r="Q147" s="27" t="s">
        <v>1447</v>
      </c>
      <c r="R147" s="27" t="s">
        <v>1448</v>
      </c>
      <c r="S147" s="33">
        <v>45645.0</v>
      </c>
      <c r="T147" s="27" t="s">
        <v>1373</v>
      </c>
      <c r="U147" s="27" t="s">
        <v>65</v>
      </c>
      <c r="V147" s="27" t="s">
        <v>560</v>
      </c>
      <c r="W147" s="27" t="s">
        <v>417</v>
      </c>
      <c r="X147" s="27" t="s">
        <v>561</v>
      </c>
      <c r="Y147" s="36">
        <v>4.51</v>
      </c>
      <c r="Z147" s="27" t="s">
        <v>419</v>
      </c>
      <c r="AA147" s="27" t="s">
        <v>943</v>
      </c>
      <c r="AB147" s="27" t="s">
        <v>74</v>
      </c>
      <c r="AC147" s="27" t="s">
        <v>149</v>
      </c>
      <c r="AD147" s="26">
        <v>2.0</v>
      </c>
      <c r="AE147" s="26">
        <v>0.0</v>
      </c>
    </row>
    <row r="148" ht="15.75" customHeight="1">
      <c r="A148" s="25" t="s">
        <v>1449</v>
      </c>
      <c r="B148" s="25" t="s">
        <v>433</v>
      </c>
      <c r="C148" s="25" t="s">
        <v>645</v>
      </c>
      <c r="D148" s="25" t="s">
        <v>1450</v>
      </c>
      <c r="E148" s="25" t="s">
        <v>424</v>
      </c>
      <c r="F148" s="30">
        <v>35636.0</v>
      </c>
      <c r="G148" s="25" t="s">
        <v>575</v>
      </c>
      <c r="H148" s="31">
        <v>12.0</v>
      </c>
      <c r="I148" s="25" t="s">
        <v>60</v>
      </c>
      <c r="J148" s="25" t="s">
        <v>60</v>
      </c>
      <c r="K148" s="25" t="s">
        <v>1295</v>
      </c>
      <c r="L148" s="25" t="s">
        <v>23</v>
      </c>
      <c r="M148" s="25" t="s">
        <v>188</v>
      </c>
      <c r="N148" s="25" t="s">
        <v>822</v>
      </c>
      <c r="O148" s="28" t="s">
        <v>1451</v>
      </c>
      <c r="P148" s="25" t="s">
        <v>1452</v>
      </c>
      <c r="Q148" s="25" t="s">
        <v>1453</v>
      </c>
      <c r="R148" s="25" t="s">
        <v>1454</v>
      </c>
      <c r="S148" s="30">
        <v>45450.0</v>
      </c>
      <c r="T148" s="25" t="s">
        <v>415</v>
      </c>
      <c r="U148" s="25" t="s">
        <v>65</v>
      </c>
      <c r="V148" s="25" t="s">
        <v>461</v>
      </c>
      <c r="W148" s="25" t="s">
        <v>542</v>
      </c>
      <c r="X148" s="25" t="s">
        <v>474</v>
      </c>
      <c r="Y148" s="32">
        <v>6.7</v>
      </c>
      <c r="Z148" s="25" t="s">
        <v>419</v>
      </c>
      <c r="AA148" s="25" t="s">
        <v>943</v>
      </c>
      <c r="AB148" s="25" t="s">
        <v>72</v>
      </c>
      <c r="AC148" s="25" t="s">
        <v>151</v>
      </c>
      <c r="AD148" s="24">
        <v>2.0</v>
      </c>
      <c r="AE148" s="24">
        <v>3.0</v>
      </c>
    </row>
    <row r="149" ht="15.75" customHeight="1">
      <c r="A149" s="27" t="s">
        <v>1455</v>
      </c>
      <c r="B149" s="27" t="s">
        <v>652</v>
      </c>
      <c r="C149" s="27" t="s">
        <v>455</v>
      </c>
      <c r="D149" s="27" t="s">
        <v>1456</v>
      </c>
      <c r="E149" s="27" t="s">
        <v>424</v>
      </c>
      <c r="F149" s="33">
        <v>34337.0</v>
      </c>
      <c r="G149" s="27" t="s">
        <v>409</v>
      </c>
      <c r="H149" s="34">
        <v>12.0</v>
      </c>
      <c r="I149" s="27" t="s">
        <v>60</v>
      </c>
      <c r="J149" s="27" t="s">
        <v>60</v>
      </c>
      <c r="K149" s="27" t="s">
        <v>1295</v>
      </c>
      <c r="L149" s="27" t="s">
        <v>47</v>
      </c>
      <c r="M149" s="27" t="s">
        <v>196</v>
      </c>
      <c r="N149" s="27" t="s">
        <v>849</v>
      </c>
      <c r="O149" s="35" t="s">
        <v>1457</v>
      </c>
      <c r="P149" s="27" t="s">
        <v>1458</v>
      </c>
      <c r="Q149" s="27" t="s">
        <v>1459</v>
      </c>
      <c r="R149" s="27" t="s">
        <v>1460</v>
      </c>
      <c r="S149" s="33">
        <v>45493.0</v>
      </c>
      <c r="T149" s="27" t="s">
        <v>415</v>
      </c>
      <c r="U149" s="27" t="s">
        <v>65</v>
      </c>
      <c r="V149" s="27" t="s">
        <v>612</v>
      </c>
      <c r="W149" s="27" t="s">
        <v>681</v>
      </c>
      <c r="X149" s="27" t="s">
        <v>418</v>
      </c>
      <c r="Y149" s="36">
        <v>5.09</v>
      </c>
      <c r="Z149" s="27" t="s">
        <v>419</v>
      </c>
      <c r="AA149" s="27" t="s">
        <v>943</v>
      </c>
      <c r="AB149" s="27" t="s">
        <v>72</v>
      </c>
      <c r="AC149" s="27" t="s">
        <v>165</v>
      </c>
      <c r="AD149" s="26">
        <v>2.0</v>
      </c>
      <c r="AE149" s="26">
        <v>0.0</v>
      </c>
    </row>
    <row r="150" ht="15.75" customHeight="1">
      <c r="A150" s="25" t="s">
        <v>1461</v>
      </c>
      <c r="B150" s="25" t="s">
        <v>690</v>
      </c>
      <c r="C150" s="25" t="s">
        <v>445</v>
      </c>
      <c r="D150" s="25" t="s">
        <v>1462</v>
      </c>
      <c r="E150" s="25" t="s">
        <v>424</v>
      </c>
      <c r="F150" s="30">
        <v>37151.0</v>
      </c>
      <c r="G150" s="25" t="s">
        <v>409</v>
      </c>
      <c r="H150" s="31">
        <v>12.0</v>
      </c>
      <c r="I150" s="25" t="s">
        <v>60</v>
      </c>
      <c r="J150" s="25" t="s">
        <v>60</v>
      </c>
      <c r="K150" s="25" t="s">
        <v>1295</v>
      </c>
      <c r="L150" s="25" t="s">
        <v>23</v>
      </c>
      <c r="M150" s="25" t="s">
        <v>192</v>
      </c>
      <c r="N150" s="25" t="s">
        <v>849</v>
      </c>
      <c r="O150" s="28" t="s">
        <v>1463</v>
      </c>
      <c r="P150" s="25" t="s">
        <v>1464</v>
      </c>
      <c r="Q150" s="25" t="s">
        <v>1465</v>
      </c>
      <c r="R150" s="25" t="s">
        <v>1466</v>
      </c>
      <c r="S150" s="30">
        <v>45245.0</v>
      </c>
      <c r="T150" s="25" t="s">
        <v>415</v>
      </c>
      <c r="U150" s="25" t="s">
        <v>65</v>
      </c>
      <c r="V150" s="25" t="s">
        <v>533</v>
      </c>
      <c r="W150" s="25" t="s">
        <v>542</v>
      </c>
      <c r="X150" s="25" t="s">
        <v>463</v>
      </c>
      <c r="Y150" s="32">
        <v>4.97</v>
      </c>
      <c r="Z150" s="25" t="s">
        <v>419</v>
      </c>
      <c r="AA150" s="25" t="s">
        <v>943</v>
      </c>
      <c r="AB150" s="25" t="s">
        <v>72</v>
      </c>
      <c r="AC150" s="25" t="s">
        <v>151</v>
      </c>
      <c r="AD150" s="24">
        <v>2.0</v>
      </c>
      <c r="AE150" s="24">
        <v>0.0</v>
      </c>
    </row>
    <row r="151" ht="15.75" customHeight="1">
      <c r="A151" s="27" t="s">
        <v>1467</v>
      </c>
      <c r="B151" s="27" t="s">
        <v>598</v>
      </c>
      <c r="C151" s="27" t="s">
        <v>722</v>
      </c>
      <c r="D151" s="27" t="s">
        <v>1468</v>
      </c>
      <c r="E151" s="27" t="s">
        <v>424</v>
      </c>
      <c r="F151" s="33">
        <v>35822.0</v>
      </c>
      <c r="G151" s="27" t="s">
        <v>409</v>
      </c>
      <c r="H151" s="34">
        <v>12.0</v>
      </c>
      <c r="I151" s="27" t="s">
        <v>60</v>
      </c>
      <c r="J151" s="27" t="s">
        <v>60</v>
      </c>
      <c r="K151" s="27" t="s">
        <v>1295</v>
      </c>
      <c r="L151" s="27" t="s">
        <v>51</v>
      </c>
      <c r="M151" s="27" t="s">
        <v>210</v>
      </c>
      <c r="N151" s="27" t="s">
        <v>855</v>
      </c>
      <c r="O151" s="35" t="s">
        <v>1469</v>
      </c>
      <c r="P151" s="27" t="s">
        <v>1470</v>
      </c>
      <c r="Q151" s="27" t="s">
        <v>1471</v>
      </c>
      <c r="R151" s="27" t="s">
        <v>1472</v>
      </c>
      <c r="S151" s="33">
        <v>45578.0</v>
      </c>
      <c r="T151" s="27" t="s">
        <v>1373</v>
      </c>
      <c r="U151" s="27" t="s">
        <v>65</v>
      </c>
      <c r="V151" s="27" t="s">
        <v>560</v>
      </c>
      <c r="W151" s="27" t="s">
        <v>442</v>
      </c>
      <c r="X151" s="27" t="s">
        <v>432</v>
      </c>
      <c r="Y151" s="36">
        <v>4.42</v>
      </c>
      <c r="Z151" s="27" t="s">
        <v>419</v>
      </c>
      <c r="AA151" s="27" t="s">
        <v>943</v>
      </c>
      <c r="AB151" s="27" t="s">
        <v>72</v>
      </c>
      <c r="AC151" s="27" t="s">
        <v>168</v>
      </c>
      <c r="AD151" s="26">
        <v>2.0</v>
      </c>
      <c r="AE151" s="26">
        <v>0.0</v>
      </c>
    </row>
    <row r="152" ht="15.75" customHeight="1">
      <c r="A152" s="25" t="s">
        <v>1473</v>
      </c>
      <c r="B152" s="25" t="s">
        <v>606</v>
      </c>
      <c r="C152" s="25" t="s">
        <v>788</v>
      </c>
      <c r="D152" s="25" t="s">
        <v>1474</v>
      </c>
      <c r="E152" s="25" t="s">
        <v>408</v>
      </c>
      <c r="F152" s="30">
        <v>36474.0</v>
      </c>
      <c r="G152" s="25" t="s">
        <v>409</v>
      </c>
      <c r="H152" s="31">
        <v>12.0</v>
      </c>
      <c r="I152" s="25" t="s">
        <v>60</v>
      </c>
      <c r="J152" s="25" t="s">
        <v>60</v>
      </c>
      <c r="K152" s="25" t="s">
        <v>1295</v>
      </c>
      <c r="L152" s="25" t="s">
        <v>55</v>
      </c>
      <c r="M152" s="25" t="s">
        <v>177</v>
      </c>
      <c r="N152" s="25" t="s">
        <v>915</v>
      </c>
      <c r="O152" s="28" t="s">
        <v>1475</v>
      </c>
      <c r="P152" s="25" t="s">
        <v>1476</v>
      </c>
      <c r="Q152" s="25" t="s">
        <v>1477</v>
      </c>
      <c r="R152" s="25" t="s">
        <v>1478</v>
      </c>
      <c r="S152" s="30">
        <v>45396.0</v>
      </c>
      <c r="T152" s="25" t="s">
        <v>415</v>
      </c>
      <c r="U152" s="25" t="s">
        <v>65</v>
      </c>
      <c r="V152" s="25" t="s">
        <v>533</v>
      </c>
      <c r="W152" s="25" t="s">
        <v>452</v>
      </c>
      <c r="X152" s="25" t="s">
        <v>543</v>
      </c>
      <c r="Y152" s="32">
        <v>4.25</v>
      </c>
      <c r="Z152" s="25" t="s">
        <v>419</v>
      </c>
      <c r="AA152" s="25" t="s">
        <v>943</v>
      </c>
      <c r="AB152" s="25" t="s">
        <v>74</v>
      </c>
      <c r="AC152" s="25" t="s">
        <v>169</v>
      </c>
      <c r="AD152" s="24">
        <v>2.0</v>
      </c>
      <c r="AE152" s="24">
        <v>2.0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E$1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8754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0.0"/>
    <col customWidth="1" min="4" max="5" width="16.0"/>
    <col customWidth="1" min="6" max="6" width="14.0"/>
    <col customWidth="1" min="7" max="7" width="16.0"/>
    <col customWidth="1" min="8" max="8" width="18.0"/>
    <col customWidth="1" min="9" max="26" width="8.71"/>
  </cols>
  <sheetData>
    <row r="1" ht="30.0" customHeight="1">
      <c r="A1" s="23" t="s">
        <v>1479</v>
      </c>
      <c r="B1" s="23" t="s">
        <v>378</v>
      </c>
      <c r="C1" s="23" t="s">
        <v>225</v>
      </c>
      <c r="D1" s="23" t="s">
        <v>1480</v>
      </c>
      <c r="E1" s="23" t="s">
        <v>1481</v>
      </c>
      <c r="F1" s="23" t="s">
        <v>1482</v>
      </c>
      <c r="G1" s="23" t="s">
        <v>1483</v>
      </c>
      <c r="H1" s="23" t="s">
        <v>1484</v>
      </c>
    </row>
    <row r="2">
      <c r="A2" s="25" t="s">
        <v>1485</v>
      </c>
      <c r="B2" s="25" t="s">
        <v>150</v>
      </c>
      <c r="C2" s="25" t="s">
        <v>356</v>
      </c>
      <c r="D2" s="25" t="s">
        <v>1486</v>
      </c>
      <c r="E2" s="24">
        <v>6.5</v>
      </c>
      <c r="F2" s="30">
        <v>45661.0</v>
      </c>
      <c r="G2" s="25" t="s">
        <v>181</v>
      </c>
      <c r="H2" s="25" t="s">
        <v>1487</v>
      </c>
    </row>
    <row r="3">
      <c r="A3" s="27" t="s">
        <v>1488</v>
      </c>
      <c r="B3" s="27" t="s">
        <v>150</v>
      </c>
      <c r="C3" s="27" t="s">
        <v>374</v>
      </c>
      <c r="D3" s="27" t="s">
        <v>1489</v>
      </c>
      <c r="E3" s="26">
        <v>5.8</v>
      </c>
      <c r="F3" s="33">
        <v>45218.0</v>
      </c>
      <c r="G3" s="27" t="s">
        <v>187</v>
      </c>
      <c r="H3" s="27" t="s">
        <v>1487</v>
      </c>
    </row>
    <row r="4">
      <c r="A4" s="25" t="s">
        <v>1490</v>
      </c>
      <c r="B4" s="25" t="s">
        <v>150</v>
      </c>
      <c r="C4" s="25" t="s">
        <v>336</v>
      </c>
      <c r="D4" s="25" t="s">
        <v>1486</v>
      </c>
      <c r="E4" s="24">
        <v>6.8</v>
      </c>
      <c r="F4" s="30">
        <v>45935.0</v>
      </c>
      <c r="G4" s="25" t="s">
        <v>187</v>
      </c>
      <c r="H4" s="25" t="s">
        <v>1487</v>
      </c>
    </row>
    <row r="5">
      <c r="A5" s="27" t="s">
        <v>1491</v>
      </c>
      <c r="B5" s="27" t="s">
        <v>150</v>
      </c>
      <c r="C5" s="27" t="s">
        <v>333</v>
      </c>
      <c r="D5" s="27" t="s">
        <v>1492</v>
      </c>
      <c r="E5" s="26">
        <v>4.2</v>
      </c>
      <c r="F5" s="33">
        <v>45111.0</v>
      </c>
      <c r="G5" s="27" t="s">
        <v>187</v>
      </c>
      <c r="H5" s="27" t="s">
        <v>1493</v>
      </c>
    </row>
    <row r="6">
      <c r="A6" s="25" t="s">
        <v>1494</v>
      </c>
      <c r="B6" s="25" t="s">
        <v>150</v>
      </c>
      <c r="C6" s="25" t="s">
        <v>365</v>
      </c>
      <c r="D6" s="25" t="s">
        <v>1495</v>
      </c>
      <c r="E6" s="24">
        <v>2.1</v>
      </c>
      <c r="F6" s="30">
        <v>46005.0</v>
      </c>
      <c r="G6" s="25" t="s">
        <v>187</v>
      </c>
      <c r="H6" s="25" t="s">
        <v>1496</v>
      </c>
    </row>
    <row r="7">
      <c r="A7" s="27" t="s">
        <v>1497</v>
      </c>
      <c r="B7" s="27" t="s">
        <v>152</v>
      </c>
      <c r="C7" s="27" t="s">
        <v>344</v>
      </c>
      <c r="D7" s="27" t="s">
        <v>1495</v>
      </c>
      <c r="E7" s="26">
        <v>1.6</v>
      </c>
      <c r="F7" s="33">
        <v>45217.0</v>
      </c>
      <c r="G7" s="27" t="s">
        <v>181</v>
      </c>
      <c r="H7" s="27" t="s">
        <v>1493</v>
      </c>
    </row>
    <row r="8">
      <c r="A8" s="25" t="s">
        <v>1498</v>
      </c>
      <c r="B8" s="25" t="s">
        <v>152</v>
      </c>
      <c r="C8" s="25" t="s">
        <v>356</v>
      </c>
      <c r="D8" s="25" t="s">
        <v>1486</v>
      </c>
      <c r="E8" s="24">
        <v>7.0</v>
      </c>
      <c r="F8" s="30">
        <v>45075.0</v>
      </c>
      <c r="G8" s="25" t="s">
        <v>187</v>
      </c>
      <c r="H8" s="25" t="s">
        <v>1496</v>
      </c>
    </row>
    <row r="9">
      <c r="A9" s="27" t="s">
        <v>1499</v>
      </c>
      <c r="B9" s="27" t="s">
        <v>152</v>
      </c>
      <c r="C9" s="27" t="s">
        <v>298</v>
      </c>
      <c r="D9" s="27" t="s">
        <v>1486</v>
      </c>
      <c r="E9" s="26">
        <v>5.5</v>
      </c>
      <c r="F9" s="33">
        <v>45133.0</v>
      </c>
      <c r="G9" s="27" t="s">
        <v>187</v>
      </c>
      <c r="H9" s="27" t="s">
        <v>1496</v>
      </c>
    </row>
    <row r="10">
      <c r="A10" s="25" t="s">
        <v>1500</v>
      </c>
      <c r="B10" s="25" t="s">
        <v>152</v>
      </c>
      <c r="C10" s="25" t="s">
        <v>325</v>
      </c>
      <c r="D10" s="25" t="s">
        <v>1495</v>
      </c>
      <c r="E10" s="24">
        <v>1.5</v>
      </c>
      <c r="F10" s="30">
        <v>45249.0</v>
      </c>
      <c r="G10" s="25" t="s">
        <v>187</v>
      </c>
      <c r="H10" s="25" t="s">
        <v>1487</v>
      </c>
    </row>
    <row r="11">
      <c r="A11" s="27" t="s">
        <v>1501</v>
      </c>
      <c r="B11" s="27" t="s">
        <v>152</v>
      </c>
      <c r="C11" s="27" t="s">
        <v>266</v>
      </c>
      <c r="D11" s="27" t="s">
        <v>1486</v>
      </c>
      <c r="E11" s="26">
        <v>6.4</v>
      </c>
      <c r="F11" s="33">
        <v>45924.0</v>
      </c>
      <c r="G11" s="27" t="s">
        <v>187</v>
      </c>
      <c r="H11" s="27" t="s">
        <v>1487</v>
      </c>
    </row>
    <row r="12">
      <c r="A12" s="25" t="s">
        <v>1502</v>
      </c>
      <c r="B12" s="25" t="s">
        <v>152</v>
      </c>
      <c r="C12" s="25" t="s">
        <v>365</v>
      </c>
      <c r="D12" s="25" t="s">
        <v>1492</v>
      </c>
      <c r="E12" s="24">
        <v>5.8</v>
      </c>
      <c r="F12" s="30">
        <v>45657.0</v>
      </c>
      <c r="G12" s="25" t="s">
        <v>187</v>
      </c>
      <c r="H12" s="25" t="s">
        <v>1493</v>
      </c>
    </row>
    <row r="13">
      <c r="A13" s="27" t="s">
        <v>1503</v>
      </c>
      <c r="B13" s="27" t="s">
        <v>154</v>
      </c>
      <c r="C13" s="27" t="s">
        <v>340</v>
      </c>
      <c r="D13" s="27" t="s">
        <v>1486</v>
      </c>
      <c r="E13" s="26">
        <v>3.4</v>
      </c>
      <c r="F13" s="33">
        <v>44993.0</v>
      </c>
      <c r="G13" s="27" t="s">
        <v>181</v>
      </c>
      <c r="H13" s="27" t="s">
        <v>1493</v>
      </c>
    </row>
    <row r="14">
      <c r="A14" s="25" t="s">
        <v>1504</v>
      </c>
      <c r="B14" s="25" t="s">
        <v>154</v>
      </c>
      <c r="C14" s="25" t="s">
        <v>329</v>
      </c>
      <c r="D14" s="25" t="s">
        <v>1486</v>
      </c>
      <c r="E14" s="24">
        <v>7.4</v>
      </c>
      <c r="F14" s="30">
        <v>45379.0</v>
      </c>
      <c r="G14" s="25" t="s">
        <v>187</v>
      </c>
      <c r="H14" s="25" t="s">
        <v>1487</v>
      </c>
    </row>
    <row r="15">
      <c r="A15" s="27" t="s">
        <v>1505</v>
      </c>
      <c r="B15" s="27" t="s">
        <v>154</v>
      </c>
      <c r="C15" s="27" t="s">
        <v>313</v>
      </c>
      <c r="D15" s="27" t="s">
        <v>1492</v>
      </c>
      <c r="E15" s="26">
        <v>7.5</v>
      </c>
      <c r="F15" s="33">
        <v>45215.0</v>
      </c>
      <c r="G15" s="27" t="s">
        <v>187</v>
      </c>
      <c r="H15" s="27" t="s">
        <v>1496</v>
      </c>
    </row>
    <row r="16">
      <c r="A16" s="25" t="s">
        <v>1506</v>
      </c>
      <c r="B16" s="25" t="s">
        <v>154</v>
      </c>
      <c r="C16" s="25" t="s">
        <v>365</v>
      </c>
      <c r="D16" s="25" t="s">
        <v>1486</v>
      </c>
      <c r="E16" s="24">
        <v>2.3</v>
      </c>
      <c r="F16" s="30">
        <v>45581.0</v>
      </c>
      <c r="G16" s="25" t="s">
        <v>187</v>
      </c>
      <c r="H16" s="25" t="s">
        <v>1493</v>
      </c>
    </row>
    <row r="17">
      <c r="A17" s="27" t="s">
        <v>1507</v>
      </c>
      <c r="B17" s="27" t="s">
        <v>154</v>
      </c>
      <c r="C17" s="27" t="s">
        <v>374</v>
      </c>
      <c r="D17" s="27" t="s">
        <v>1486</v>
      </c>
      <c r="E17" s="26">
        <v>7.7</v>
      </c>
      <c r="F17" s="33">
        <v>45614.0</v>
      </c>
      <c r="G17" s="27" t="s">
        <v>187</v>
      </c>
      <c r="H17" s="27" t="s">
        <v>1496</v>
      </c>
    </row>
    <row r="18">
      <c r="A18" s="25" t="s">
        <v>1508</v>
      </c>
      <c r="B18" s="25" t="s">
        <v>154</v>
      </c>
      <c r="C18" s="25" t="s">
        <v>273</v>
      </c>
      <c r="D18" s="25" t="s">
        <v>1489</v>
      </c>
      <c r="E18" s="24">
        <v>2.1</v>
      </c>
      <c r="F18" s="30">
        <v>45065.0</v>
      </c>
      <c r="G18" s="25" t="s">
        <v>187</v>
      </c>
      <c r="H18" s="25" t="s">
        <v>1496</v>
      </c>
    </row>
    <row r="19">
      <c r="A19" s="27" t="s">
        <v>1509</v>
      </c>
      <c r="B19" s="27" t="s">
        <v>154</v>
      </c>
      <c r="C19" s="27" t="s">
        <v>263</v>
      </c>
      <c r="D19" s="27" t="s">
        <v>1495</v>
      </c>
      <c r="E19" s="26">
        <v>1.3</v>
      </c>
      <c r="F19" s="33">
        <v>44929.0</v>
      </c>
      <c r="G19" s="27" t="s">
        <v>187</v>
      </c>
      <c r="H19" s="27" t="s">
        <v>1493</v>
      </c>
    </row>
    <row r="20">
      <c r="A20" s="25" t="s">
        <v>1510</v>
      </c>
      <c r="B20" s="25" t="s">
        <v>154</v>
      </c>
      <c r="C20" s="25" t="s">
        <v>353</v>
      </c>
      <c r="D20" s="25" t="s">
        <v>1492</v>
      </c>
      <c r="E20" s="24">
        <v>6.0</v>
      </c>
      <c r="F20" s="30">
        <v>45267.0</v>
      </c>
      <c r="G20" s="25" t="s">
        <v>187</v>
      </c>
      <c r="H20" s="25" t="s">
        <v>1496</v>
      </c>
    </row>
    <row r="21" ht="15.75" customHeight="1">
      <c r="A21" s="27" t="s">
        <v>1511</v>
      </c>
      <c r="B21" s="27" t="s">
        <v>443</v>
      </c>
      <c r="C21" s="27" t="s">
        <v>270</v>
      </c>
      <c r="D21" s="27" t="s">
        <v>1486</v>
      </c>
      <c r="E21" s="26">
        <v>0.8</v>
      </c>
      <c r="F21" s="33">
        <v>44968.0</v>
      </c>
      <c r="G21" s="27" t="s">
        <v>181</v>
      </c>
      <c r="H21" s="27" t="s">
        <v>1496</v>
      </c>
    </row>
    <row r="22" ht="15.75" customHeight="1">
      <c r="A22" s="25" t="s">
        <v>1512</v>
      </c>
      <c r="B22" s="25" t="s">
        <v>443</v>
      </c>
      <c r="C22" s="25" t="s">
        <v>242</v>
      </c>
      <c r="D22" s="25" t="s">
        <v>1495</v>
      </c>
      <c r="E22" s="24">
        <v>1.3</v>
      </c>
      <c r="F22" s="30">
        <v>45627.0</v>
      </c>
      <c r="G22" s="25" t="s">
        <v>187</v>
      </c>
      <c r="H22" s="25" t="s">
        <v>1493</v>
      </c>
    </row>
    <row r="23" ht="15.75" customHeight="1">
      <c r="A23" s="27" t="s">
        <v>1513</v>
      </c>
      <c r="B23" s="27" t="s">
        <v>443</v>
      </c>
      <c r="C23" s="27" t="s">
        <v>284</v>
      </c>
      <c r="D23" s="27" t="s">
        <v>1486</v>
      </c>
      <c r="E23" s="26">
        <v>1.7</v>
      </c>
      <c r="F23" s="33">
        <v>45080.0</v>
      </c>
      <c r="G23" s="27" t="s">
        <v>187</v>
      </c>
      <c r="H23" s="27" t="s">
        <v>1487</v>
      </c>
    </row>
    <row r="24" ht="15.75" customHeight="1">
      <c r="A24" s="25" t="s">
        <v>1514</v>
      </c>
      <c r="B24" s="25" t="s">
        <v>443</v>
      </c>
      <c r="C24" s="25" t="s">
        <v>344</v>
      </c>
      <c r="D24" s="25" t="s">
        <v>1486</v>
      </c>
      <c r="E24" s="24">
        <v>7.8</v>
      </c>
      <c r="F24" s="30">
        <v>45619.0</v>
      </c>
      <c r="G24" s="25" t="s">
        <v>187</v>
      </c>
      <c r="H24" s="25" t="s">
        <v>1487</v>
      </c>
    </row>
    <row r="25" ht="15.75" customHeight="1">
      <c r="A25" s="27" t="s">
        <v>1515</v>
      </c>
      <c r="B25" s="27" t="s">
        <v>453</v>
      </c>
      <c r="C25" s="27" t="s">
        <v>229</v>
      </c>
      <c r="D25" s="27" t="s">
        <v>1495</v>
      </c>
      <c r="E25" s="26">
        <v>1.9</v>
      </c>
      <c r="F25" s="33">
        <v>45470.0</v>
      </c>
      <c r="G25" s="27" t="s">
        <v>181</v>
      </c>
      <c r="H25" s="27" t="s">
        <v>1487</v>
      </c>
    </row>
    <row r="26" ht="15.75" customHeight="1">
      <c r="A26" s="25" t="s">
        <v>1516</v>
      </c>
      <c r="B26" s="25" t="s">
        <v>453</v>
      </c>
      <c r="C26" s="25" t="s">
        <v>301</v>
      </c>
      <c r="D26" s="25" t="s">
        <v>1495</v>
      </c>
      <c r="E26" s="24">
        <v>2.3</v>
      </c>
      <c r="F26" s="30">
        <v>45028.0</v>
      </c>
      <c r="G26" s="25" t="s">
        <v>187</v>
      </c>
      <c r="H26" s="25" t="s">
        <v>1496</v>
      </c>
    </row>
    <row r="27" ht="15.75" customHeight="1">
      <c r="A27" s="27" t="s">
        <v>1517</v>
      </c>
      <c r="B27" s="27" t="s">
        <v>453</v>
      </c>
      <c r="C27" s="27" t="s">
        <v>336</v>
      </c>
      <c r="D27" s="27" t="s">
        <v>1492</v>
      </c>
      <c r="E27" s="26">
        <v>6.8</v>
      </c>
      <c r="F27" s="33">
        <v>45241.0</v>
      </c>
      <c r="G27" s="27" t="s">
        <v>187</v>
      </c>
      <c r="H27" s="27" t="s">
        <v>1493</v>
      </c>
    </row>
    <row r="28" ht="15.75" customHeight="1">
      <c r="A28" s="25" t="s">
        <v>1518</v>
      </c>
      <c r="B28" s="25" t="s">
        <v>453</v>
      </c>
      <c r="C28" s="25" t="s">
        <v>309</v>
      </c>
      <c r="D28" s="25" t="s">
        <v>1492</v>
      </c>
      <c r="E28" s="24">
        <v>3.7</v>
      </c>
      <c r="F28" s="30">
        <v>45530.0</v>
      </c>
      <c r="G28" s="25" t="s">
        <v>187</v>
      </c>
      <c r="H28" s="25" t="s">
        <v>1487</v>
      </c>
    </row>
    <row r="29" ht="15.75" customHeight="1">
      <c r="A29" s="27" t="s">
        <v>1519</v>
      </c>
      <c r="B29" s="27" t="s">
        <v>453</v>
      </c>
      <c r="C29" s="27" t="s">
        <v>333</v>
      </c>
      <c r="D29" s="27" t="s">
        <v>1486</v>
      </c>
      <c r="E29" s="26">
        <v>4.1</v>
      </c>
      <c r="F29" s="33">
        <v>45125.0</v>
      </c>
      <c r="G29" s="27" t="s">
        <v>187</v>
      </c>
      <c r="H29" s="27" t="s">
        <v>1493</v>
      </c>
    </row>
    <row r="30" ht="15.75" customHeight="1">
      <c r="A30" s="25" t="s">
        <v>1520</v>
      </c>
      <c r="B30" s="25" t="s">
        <v>453</v>
      </c>
      <c r="C30" s="25" t="s">
        <v>365</v>
      </c>
      <c r="D30" s="25" t="s">
        <v>1495</v>
      </c>
      <c r="E30" s="24">
        <v>5.3</v>
      </c>
      <c r="F30" s="30">
        <v>45094.0</v>
      </c>
      <c r="G30" s="25" t="s">
        <v>187</v>
      </c>
      <c r="H30" s="25" t="s">
        <v>1496</v>
      </c>
    </row>
    <row r="31" ht="15.75" customHeight="1">
      <c r="A31" s="27" t="s">
        <v>1521</v>
      </c>
      <c r="B31" s="27" t="s">
        <v>464</v>
      </c>
      <c r="C31" s="27" t="s">
        <v>344</v>
      </c>
      <c r="D31" s="27" t="s">
        <v>1492</v>
      </c>
      <c r="E31" s="26">
        <v>3.4</v>
      </c>
      <c r="F31" s="33">
        <v>45309.0</v>
      </c>
      <c r="G31" s="27" t="s">
        <v>181</v>
      </c>
      <c r="H31" s="27" t="s">
        <v>1496</v>
      </c>
    </row>
    <row r="32" ht="15.75" customHeight="1">
      <c r="A32" s="25" t="s">
        <v>1522</v>
      </c>
      <c r="B32" s="25" t="s">
        <v>464</v>
      </c>
      <c r="C32" s="25" t="s">
        <v>356</v>
      </c>
      <c r="D32" s="25" t="s">
        <v>1495</v>
      </c>
      <c r="E32" s="24">
        <v>3.8</v>
      </c>
      <c r="F32" s="30">
        <v>45466.0</v>
      </c>
      <c r="G32" s="25" t="s">
        <v>187</v>
      </c>
      <c r="H32" s="25" t="s">
        <v>1493</v>
      </c>
    </row>
    <row r="33" ht="15.75" customHeight="1">
      <c r="A33" s="27" t="s">
        <v>1523</v>
      </c>
      <c r="B33" s="27" t="s">
        <v>464</v>
      </c>
      <c r="C33" s="27" t="s">
        <v>370</v>
      </c>
      <c r="D33" s="27" t="s">
        <v>1486</v>
      </c>
      <c r="E33" s="26">
        <v>4.7</v>
      </c>
      <c r="F33" s="33">
        <v>45236.0</v>
      </c>
      <c r="G33" s="27" t="s">
        <v>187</v>
      </c>
      <c r="H33" s="27" t="s">
        <v>1487</v>
      </c>
    </row>
    <row r="34" ht="15.75" customHeight="1">
      <c r="A34" s="25" t="s">
        <v>1524</v>
      </c>
      <c r="B34" s="25" t="s">
        <v>464</v>
      </c>
      <c r="C34" s="25" t="s">
        <v>333</v>
      </c>
      <c r="D34" s="25" t="s">
        <v>1486</v>
      </c>
      <c r="E34" s="24">
        <v>1.1</v>
      </c>
      <c r="F34" s="30">
        <v>45631.0</v>
      </c>
      <c r="G34" s="25" t="s">
        <v>187</v>
      </c>
      <c r="H34" s="25" t="s">
        <v>1487</v>
      </c>
    </row>
    <row r="35" ht="15.75" customHeight="1">
      <c r="A35" s="27" t="s">
        <v>1525</v>
      </c>
      <c r="B35" s="27" t="s">
        <v>464</v>
      </c>
      <c r="C35" s="27" t="s">
        <v>365</v>
      </c>
      <c r="D35" s="27" t="s">
        <v>1492</v>
      </c>
      <c r="E35" s="26">
        <v>6.2</v>
      </c>
      <c r="F35" s="33">
        <v>45392.0</v>
      </c>
      <c r="G35" s="27" t="s">
        <v>187</v>
      </c>
      <c r="H35" s="27" t="s">
        <v>1487</v>
      </c>
    </row>
    <row r="36" ht="15.75" customHeight="1">
      <c r="A36" s="25" t="s">
        <v>1526</v>
      </c>
      <c r="B36" s="25" t="s">
        <v>475</v>
      </c>
      <c r="C36" s="25" t="s">
        <v>288</v>
      </c>
      <c r="D36" s="25" t="s">
        <v>1495</v>
      </c>
      <c r="E36" s="24">
        <v>3.5</v>
      </c>
      <c r="F36" s="30">
        <v>44998.0</v>
      </c>
      <c r="G36" s="25" t="s">
        <v>181</v>
      </c>
      <c r="H36" s="25" t="s">
        <v>1487</v>
      </c>
    </row>
    <row r="37" ht="15.75" customHeight="1">
      <c r="A37" s="27" t="s">
        <v>1527</v>
      </c>
      <c r="B37" s="27" t="s">
        <v>475</v>
      </c>
      <c r="C37" s="27" t="s">
        <v>336</v>
      </c>
      <c r="D37" s="27" t="s">
        <v>1492</v>
      </c>
      <c r="E37" s="26">
        <v>4.4</v>
      </c>
      <c r="F37" s="33">
        <v>45228.0</v>
      </c>
      <c r="G37" s="27" t="s">
        <v>187</v>
      </c>
      <c r="H37" s="27" t="s">
        <v>1493</v>
      </c>
    </row>
    <row r="38" ht="15.75" customHeight="1">
      <c r="A38" s="25" t="s">
        <v>1528</v>
      </c>
      <c r="B38" s="25" t="s">
        <v>475</v>
      </c>
      <c r="C38" s="25" t="s">
        <v>333</v>
      </c>
      <c r="D38" s="25" t="s">
        <v>1486</v>
      </c>
      <c r="E38" s="24">
        <v>3.9</v>
      </c>
      <c r="F38" s="30">
        <v>45269.0</v>
      </c>
      <c r="G38" s="25" t="s">
        <v>187</v>
      </c>
      <c r="H38" s="25" t="s">
        <v>1493</v>
      </c>
    </row>
    <row r="39" ht="15.75" customHeight="1">
      <c r="A39" s="27" t="s">
        <v>1529</v>
      </c>
      <c r="B39" s="27" t="s">
        <v>475</v>
      </c>
      <c r="C39" s="27" t="s">
        <v>365</v>
      </c>
      <c r="D39" s="27" t="s">
        <v>1486</v>
      </c>
      <c r="E39" s="26">
        <v>1.4</v>
      </c>
      <c r="F39" s="33">
        <v>45794.0</v>
      </c>
      <c r="G39" s="27" t="s">
        <v>187</v>
      </c>
      <c r="H39" s="27" t="s">
        <v>1493</v>
      </c>
    </row>
    <row r="40" ht="15.75" customHeight="1">
      <c r="A40" s="25" t="s">
        <v>1530</v>
      </c>
      <c r="B40" s="25" t="s">
        <v>475</v>
      </c>
      <c r="C40" s="25" t="s">
        <v>359</v>
      </c>
      <c r="D40" s="25" t="s">
        <v>1486</v>
      </c>
      <c r="E40" s="24">
        <v>3.8</v>
      </c>
      <c r="F40" s="30">
        <v>45229.0</v>
      </c>
      <c r="G40" s="25" t="s">
        <v>187</v>
      </c>
      <c r="H40" s="25" t="s">
        <v>1487</v>
      </c>
    </row>
    <row r="41" ht="15.75" customHeight="1">
      <c r="A41" s="27" t="s">
        <v>1531</v>
      </c>
      <c r="B41" s="27" t="s">
        <v>475</v>
      </c>
      <c r="C41" s="27" t="s">
        <v>374</v>
      </c>
      <c r="D41" s="27" t="s">
        <v>1495</v>
      </c>
      <c r="E41" s="26">
        <v>7.3</v>
      </c>
      <c r="F41" s="33">
        <v>45064.0</v>
      </c>
      <c r="G41" s="27" t="s">
        <v>187</v>
      </c>
      <c r="H41" s="27" t="s">
        <v>1493</v>
      </c>
    </row>
    <row r="42" ht="15.75" customHeight="1">
      <c r="A42" s="25" t="s">
        <v>1532</v>
      </c>
      <c r="B42" s="25" t="s">
        <v>475</v>
      </c>
      <c r="C42" s="25" t="s">
        <v>273</v>
      </c>
      <c r="D42" s="25" t="s">
        <v>1492</v>
      </c>
      <c r="E42" s="24">
        <v>3.5</v>
      </c>
      <c r="F42" s="30">
        <v>45594.0</v>
      </c>
      <c r="G42" s="25" t="s">
        <v>187</v>
      </c>
      <c r="H42" s="25" t="s">
        <v>1496</v>
      </c>
    </row>
    <row r="43" ht="15.75" customHeight="1">
      <c r="A43" s="27" t="s">
        <v>1533</v>
      </c>
      <c r="B43" s="27" t="s">
        <v>487</v>
      </c>
      <c r="C43" s="27" t="s">
        <v>229</v>
      </c>
      <c r="D43" s="27" t="s">
        <v>1492</v>
      </c>
      <c r="E43" s="26">
        <v>4.9</v>
      </c>
      <c r="F43" s="33">
        <v>45132.0</v>
      </c>
      <c r="G43" s="27" t="s">
        <v>181</v>
      </c>
      <c r="H43" s="27" t="s">
        <v>1493</v>
      </c>
    </row>
    <row r="44" ht="15.75" customHeight="1">
      <c r="A44" s="25" t="s">
        <v>1534</v>
      </c>
      <c r="B44" s="25" t="s">
        <v>487</v>
      </c>
      <c r="C44" s="25" t="s">
        <v>288</v>
      </c>
      <c r="D44" s="25" t="s">
        <v>1492</v>
      </c>
      <c r="E44" s="24">
        <v>1.3</v>
      </c>
      <c r="F44" s="30">
        <v>45512.0</v>
      </c>
      <c r="G44" s="25" t="s">
        <v>187</v>
      </c>
      <c r="H44" s="25" t="s">
        <v>1487</v>
      </c>
    </row>
    <row r="45" ht="15.75" customHeight="1">
      <c r="A45" s="27" t="s">
        <v>1535</v>
      </c>
      <c r="B45" s="27" t="s">
        <v>487</v>
      </c>
      <c r="C45" s="27" t="s">
        <v>344</v>
      </c>
      <c r="D45" s="27" t="s">
        <v>1486</v>
      </c>
      <c r="E45" s="26">
        <v>7.1</v>
      </c>
      <c r="F45" s="33">
        <v>45467.0</v>
      </c>
      <c r="G45" s="27" t="s">
        <v>187</v>
      </c>
      <c r="H45" s="27" t="s">
        <v>1496</v>
      </c>
    </row>
    <row r="46" ht="15.75" customHeight="1">
      <c r="A46" s="25" t="s">
        <v>1536</v>
      </c>
      <c r="B46" s="25" t="s">
        <v>487</v>
      </c>
      <c r="C46" s="25" t="s">
        <v>370</v>
      </c>
      <c r="D46" s="25" t="s">
        <v>1486</v>
      </c>
      <c r="E46" s="24">
        <v>4.8</v>
      </c>
      <c r="F46" s="30">
        <v>45895.0</v>
      </c>
      <c r="G46" s="25" t="s">
        <v>187</v>
      </c>
      <c r="H46" s="25" t="s">
        <v>1493</v>
      </c>
    </row>
    <row r="47" ht="15.75" customHeight="1">
      <c r="A47" s="27" t="s">
        <v>1537</v>
      </c>
      <c r="B47" s="27" t="s">
        <v>487</v>
      </c>
      <c r="C47" s="27" t="s">
        <v>298</v>
      </c>
      <c r="D47" s="27" t="s">
        <v>1495</v>
      </c>
      <c r="E47" s="26">
        <v>3.5</v>
      </c>
      <c r="F47" s="33">
        <v>45749.0</v>
      </c>
      <c r="G47" s="27" t="s">
        <v>187</v>
      </c>
      <c r="H47" s="27" t="s">
        <v>1493</v>
      </c>
    </row>
    <row r="48" ht="15.75" customHeight="1">
      <c r="A48" s="25" t="s">
        <v>1538</v>
      </c>
      <c r="B48" s="25" t="s">
        <v>497</v>
      </c>
      <c r="C48" s="25" t="s">
        <v>329</v>
      </c>
      <c r="D48" s="25" t="s">
        <v>1495</v>
      </c>
      <c r="E48" s="24">
        <v>6.8</v>
      </c>
      <c r="F48" s="30">
        <v>45128.0</v>
      </c>
      <c r="G48" s="25" t="s">
        <v>181</v>
      </c>
      <c r="H48" s="25" t="s">
        <v>1493</v>
      </c>
    </row>
    <row r="49" ht="15.75" customHeight="1">
      <c r="A49" s="27" t="s">
        <v>1539</v>
      </c>
      <c r="B49" s="27" t="s">
        <v>497</v>
      </c>
      <c r="C49" s="27" t="s">
        <v>370</v>
      </c>
      <c r="D49" s="27" t="s">
        <v>1495</v>
      </c>
      <c r="E49" s="26">
        <v>7.8</v>
      </c>
      <c r="F49" s="33">
        <v>45834.0</v>
      </c>
      <c r="G49" s="27" t="s">
        <v>187</v>
      </c>
      <c r="H49" s="27" t="s">
        <v>1496</v>
      </c>
    </row>
    <row r="50" ht="15.75" customHeight="1">
      <c r="A50" s="25" t="s">
        <v>1540</v>
      </c>
      <c r="B50" s="25" t="s">
        <v>497</v>
      </c>
      <c r="C50" s="25" t="s">
        <v>356</v>
      </c>
      <c r="D50" s="25" t="s">
        <v>1495</v>
      </c>
      <c r="E50" s="24">
        <v>3.6</v>
      </c>
      <c r="F50" s="30">
        <v>45109.0</v>
      </c>
      <c r="G50" s="25" t="s">
        <v>187</v>
      </c>
      <c r="H50" s="25" t="s">
        <v>1493</v>
      </c>
    </row>
    <row r="51" ht="15.75" customHeight="1">
      <c r="A51" s="27" t="s">
        <v>1541</v>
      </c>
      <c r="B51" s="27" t="s">
        <v>497</v>
      </c>
      <c r="C51" s="27" t="s">
        <v>309</v>
      </c>
      <c r="D51" s="27" t="s">
        <v>1492</v>
      </c>
      <c r="E51" s="26">
        <v>7.4</v>
      </c>
      <c r="F51" s="33">
        <v>45760.0</v>
      </c>
      <c r="G51" s="27" t="s">
        <v>187</v>
      </c>
      <c r="H51" s="27" t="s">
        <v>1487</v>
      </c>
    </row>
    <row r="52" ht="15.75" customHeight="1">
      <c r="A52" s="25" t="s">
        <v>1542</v>
      </c>
      <c r="B52" s="25" t="s">
        <v>497</v>
      </c>
      <c r="C52" s="25" t="s">
        <v>333</v>
      </c>
      <c r="D52" s="25" t="s">
        <v>1492</v>
      </c>
      <c r="E52" s="24">
        <v>4.4</v>
      </c>
      <c r="F52" s="30">
        <v>45692.0</v>
      </c>
      <c r="G52" s="25" t="s">
        <v>187</v>
      </c>
      <c r="H52" s="25" t="s">
        <v>1493</v>
      </c>
    </row>
    <row r="53" ht="15.75" customHeight="1">
      <c r="A53" s="27" t="s">
        <v>1543</v>
      </c>
      <c r="B53" s="27" t="s">
        <v>497</v>
      </c>
      <c r="C53" s="27" t="s">
        <v>313</v>
      </c>
      <c r="D53" s="27" t="s">
        <v>1492</v>
      </c>
      <c r="E53" s="26">
        <v>1.7</v>
      </c>
      <c r="F53" s="33">
        <v>45564.0</v>
      </c>
      <c r="G53" s="27" t="s">
        <v>187</v>
      </c>
      <c r="H53" s="27" t="s">
        <v>1487</v>
      </c>
    </row>
    <row r="54" ht="15.75" customHeight="1">
      <c r="A54" s="25" t="s">
        <v>1544</v>
      </c>
      <c r="B54" s="25" t="s">
        <v>506</v>
      </c>
      <c r="C54" s="25" t="s">
        <v>229</v>
      </c>
      <c r="D54" s="25" t="s">
        <v>1492</v>
      </c>
      <c r="E54" s="24">
        <v>7.4</v>
      </c>
      <c r="F54" s="30">
        <v>45334.0</v>
      </c>
      <c r="G54" s="25" t="s">
        <v>181</v>
      </c>
      <c r="H54" s="25" t="s">
        <v>1496</v>
      </c>
    </row>
    <row r="55" ht="15.75" customHeight="1">
      <c r="A55" s="27" t="s">
        <v>1545</v>
      </c>
      <c r="B55" s="27" t="s">
        <v>506</v>
      </c>
      <c r="C55" s="27" t="s">
        <v>288</v>
      </c>
      <c r="D55" s="27" t="s">
        <v>1492</v>
      </c>
      <c r="E55" s="26">
        <v>4.0</v>
      </c>
      <c r="F55" s="33">
        <v>45739.0</v>
      </c>
      <c r="G55" s="27" t="s">
        <v>187</v>
      </c>
      <c r="H55" s="27" t="s">
        <v>1487</v>
      </c>
    </row>
    <row r="56" ht="15.75" customHeight="1">
      <c r="A56" s="25" t="s">
        <v>1546</v>
      </c>
      <c r="B56" s="25" t="s">
        <v>506</v>
      </c>
      <c r="C56" s="25" t="s">
        <v>246</v>
      </c>
      <c r="D56" s="25" t="s">
        <v>1486</v>
      </c>
      <c r="E56" s="24">
        <v>5.6</v>
      </c>
      <c r="F56" s="30">
        <v>45422.0</v>
      </c>
      <c r="G56" s="25" t="s">
        <v>187</v>
      </c>
      <c r="H56" s="25" t="s">
        <v>1496</v>
      </c>
    </row>
    <row r="57" ht="15.75" customHeight="1">
      <c r="A57" s="27" t="s">
        <v>1547</v>
      </c>
      <c r="B57" s="27" t="s">
        <v>506</v>
      </c>
      <c r="C57" s="27" t="s">
        <v>344</v>
      </c>
      <c r="D57" s="27" t="s">
        <v>1492</v>
      </c>
      <c r="E57" s="26">
        <v>3.8</v>
      </c>
      <c r="F57" s="33">
        <v>45898.0</v>
      </c>
      <c r="G57" s="27" t="s">
        <v>187</v>
      </c>
      <c r="H57" s="27" t="s">
        <v>1487</v>
      </c>
    </row>
    <row r="58" ht="15.75" customHeight="1">
      <c r="A58" s="25" t="s">
        <v>1548</v>
      </c>
      <c r="B58" s="25" t="s">
        <v>515</v>
      </c>
      <c r="C58" s="25" t="s">
        <v>260</v>
      </c>
      <c r="D58" s="25" t="s">
        <v>1495</v>
      </c>
      <c r="E58" s="24">
        <v>6.9</v>
      </c>
      <c r="F58" s="30">
        <v>45365.0</v>
      </c>
      <c r="G58" s="25" t="s">
        <v>181</v>
      </c>
      <c r="H58" s="25" t="s">
        <v>1493</v>
      </c>
    </row>
    <row r="59" ht="15.75" customHeight="1">
      <c r="A59" s="27" t="s">
        <v>1549</v>
      </c>
      <c r="B59" s="27" t="s">
        <v>515</v>
      </c>
      <c r="C59" s="27" t="s">
        <v>270</v>
      </c>
      <c r="D59" s="27" t="s">
        <v>1492</v>
      </c>
      <c r="E59" s="26">
        <v>5.6</v>
      </c>
      <c r="F59" s="33">
        <v>45478.0</v>
      </c>
      <c r="G59" s="27" t="s">
        <v>187</v>
      </c>
      <c r="H59" s="27" t="s">
        <v>1487</v>
      </c>
    </row>
    <row r="60" ht="15.75" customHeight="1">
      <c r="A60" s="25" t="s">
        <v>1550</v>
      </c>
      <c r="B60" s="25" t="s">
        <v>515</v>
      </c>
      <c r="C60" s="25" t="s">
        <v>340</v>
      </c>
      <c r="D60" s="25" t="s">
        <v>1492</v>
      </c>
      <c r="E60" s="24">
        <v>0.7</v>
      </c>
      <c r="F60" s="30">
        <v>44945.0</v>
      </c>
      <c r="G60" s="25" t="s">
        <v>187</v>
      </c>
      <c r="H60" s="25" t="s">
        <v>1496</v>
      </c>
    </row>
    <row r="61" ht="15.75" customHeight="1">
      <c r="A61" s="27" t="s">
        <v>1551</v>
      </c>
      <c r="B61" s="27" t="s">
        <v>515</v>
      </c>
      <c r="C61" s="27" t="s">
        <v>344</v>
      </c>
      <c r="D61" s="27" t="s">
        <v>1486</v>
      </c>
      <c r="E61" s="26">
        <v>5.4</v>
      </c>
      <c r="F61" s="33">
        <v>44944.0</v>
      </c>
      <c r="G61" s="27" t="s">
        <v>187</v>
      </c>
      <c r="H61" s="27" t="s">
        <v>1493</v>
      </c>
    </row>
    <row r="62" ht="15.75" customHeight="1">
      <c r="A62" s="25" t="s">
        <v>1552</v>
      </c>
      <c r="B62" s="25" t="s">
        <v>515</v>
      </c>
      <c r="C62" s="25" t="s">
        <v>370</v>
      </c>
      <c r="D62" s="25" t="s">
        <v>1495</v>
      </c>
      <c r="E62" s="24">
        <v>6.5</v>
      </c>
      <c r="F62" s="30">
        <v>45552.0</v>
      </c>
      <c r="G62" s="25" t="s">
        <v>187</v>
      </c>
      <c r="H62" s="25" t="s">
        <v>1487</v>
      </c>
    </row>
    <row r="63" ht="15.75" customHeight="1">
      <c r="A63" s="27" t="s">
        <v>1553</v>
      </c>
      <c r="B63" s="27" t="s">
        <v>515</v>
      </c>
      <c r="C63" s="27" t="s">
        <v>348</v>
      </c>
      <c r="D63" s="27" t="s">
        <v>1486</v>
      </c>
      <c r="E63" s="26">
        <v>5.3</v>
      </c>
      <c r="F63" s="33">
        <v>45794.0</v>
      </c>
      <c r="G63" s="27" t="s">
        <v>187</v>
      </c>
      <c r="H63" s="27" t="s">
        <v>1496</v>
      </c>
    </row>
    <row r="64" ht="15.75" customHeight="1">
      <c r="A64" s="25" t="s">
        <v>1554</v>
      </c>
      <c r="B64" s="25" t="s">
        <v>515</v>
      </c>
      <c r="C64" s="25" t="s">
        <v>313</v>
      </c>
      <c r="D64" s="25" t="s">
        <v>1486</v>
      </c>
      <c r="E64" s="24">
        <v>3.9</v>
      </c>
      <c r="F64" s="30">
        <v>45373.0</v>
      </c>
      <c r="G64" s="25" t="s">
        <v>187</v>
      </c>
      <c r="H64" s="25" t="s">
        <v>1496</v>
      </c>
    </row>
    <row r="65" ht="15.75" customHeight="1">
      <c r="A65" s="27" t="s">
        <v>1555</v>
      </c>
      <c r="B65" s="27" t="s">
        <v>523</v>
      </c>
      <c r="C65" s="27" t="s">
        <v>305</v>
      </c>
      <c r="D65" s="27" t="s">
        <v>1492</v>
      </c>
      <c r="E65" s="26">
        <v>5.1</v>
      </c>
      <c r="F65" s="33">
        <v>45538.0</v>
      </c>
      <c r="G65" s="27" t="s">
        <v>181</v>
      </c>
      <c r="H65" s="27" t="s">
        <v>1487</v>
      </c>
    </row>
    <row r="66" ht="15.75" customHeight="1">
      <c r="A66" s="25" t="s">
        <v>1556</v>
      </c>
      <c r="B66" s="25" t="s">
        <v>523</v>
      </c>
      <c r="C66" s="25" t="s">
        <v>288</v>
      </c>
      <c r="D66" s="25" t="s">
        <v>1495</v>
      </c>
      <c r="E66" s="24">
        <v>1.0</v>
      </c>
      <c r="F66" s="30">
        <v>45493.0</v>
      </c>
      <c r="G66" s="25" t="s">
        <v>187</v>
      </c>
      <c r="H66" s="25" t="s">
        <v>1487</v>
      </c>
    </row>
    <row r="67" ht="15.75" customHeight="1">
      <c r="A67" s="27" t="s">
        <v>1557</v>
      </c>
      <c r="B67" s="27" t="s">
        <v>523</v>
      </c>
      <c r="C67" s="27" t="s">
        <v>370</v>
      </c>
      <c r="D67" s="27" t="s">
        <v>1495</v>
      </c>
      <c r="E67" s="26">
        <v>2.6</v>
      </c>
      <c r="F67" s="33">
        <v>45538.0</v>
      </c>
      <c r="G67" s="27" t="s">
        <v>187</v>
      </c>
      <c r="H67" s="27" t="s">
        <v>1493</v>
      </c>
    </row>
    <row r="68" ht="15.75" customHeight="1">
      <c r="A68" s="25" t="s">
        <v>1558</v>
      </c>
      <c r="B68" s="25" t="s">
        <v>523</v>
      </c>
      <c r="C68" s="25" t="s">
        <v>298</v>
      </c>
      <c r="D68" s="25" t="s">
        <v>1495</v>
      </c>
      <c r="E68" s="24">
        <v>6.2</v>
      </c>
      <c r="F68" s="30">
        <v>45043.0</v>
      </c>
      <c r="G68" s="25" t="s">
        <v>187</v>
      </c>
      <c r="H68" s="25" t="s">
        <v>1487</v>
      </c>
    </row>
    <row r="69" ht="15.75" customHeight="1">
      <c r="A69" s="27" t="s">
        <v>1559</v>
      </c>
      <c r="B69" s="27" t="s">
        <v>523</v>
      </c>
      <c r="C69" s="27" t="s">
        <v>336</v>
      </c>
      <c r="D69" s="27" t="s">
        <v>1492</v>
      </c>
      <c r="E69" s="26">
        <v>2.9</v>
      </c>
      <c r="F69" s="33">
        <v>45213.0</v>
      </c>
      <c r="G69" s="27" t="s">
        <v>187</v>
      </c>
      <c r="H69" s="27" t="s">
        <v>1487</v>
      </c>
    </row>
    <row r="70" ht="15.75" customHeight="1">
      <c r="A70" s="25" t="s">
        <v>1560</v>
      </c>
      <c r="B70" s="25" t="s">
        <v>523</v>
      </c>
      <c r="C70" s="25" t="s">
        <v>348</v>
      </c>
      <c r="D70" s="25" t="s">
        <v>1489</v>
      </c>
      <c r="E70" s="24">
        <v>4.2</v>
      </c>
      <c r="F70" s="30">
        <v>45532.0</v>
      </c>
      <c r="G70" s="25" t="s">
        <v>187</v>
      </c>
      <c r="H70" s="25" t="s">
        <v>1496</v>
      </c>
    </row>
    <row r="71" ht="15.75" customHeight="1">
      <c r="A71" s="27" t="s">
        <v>1561</v>
      </c>
      <c r="B71" s="27" t="s">
        <v>523</v>
      </c>
      <c r="C71" s="27" t="s">
        <v>321</v>
      </c>
      <c r="D71" s="27" t="s">
        <v>1486</v>
      </c>
      <c r="E71" s="26">
        <v>3.5</v>
      </c>
      <c r="F71" s="33">
        <v>44999.0</v>
      </c>
      <c r="G71" s="27" t="s">
        <v>187</v>
      </c>
      <c r="H71" s="27" t="s">
        <v>1487</v>
      </c>
    </row>
    <row r="72" ht="15.75" customHeight="1">
      <c r="A72" s="25" t="s">
        <v>1562</v>
      </c>
      <c r="B72" s="25" t="s">
        <v>523</v>
      </c>
      <c r="C72" s="25" t="s">
        <v>374</v>
      </c>
      <c r="D72" s="25" t="s">
        <v>1486</v>
      </c>
      <c r="E72" s="24">
        <v>4.8</v>
      </c>
      <c r="F72" s="30">
        <v>45315.0</v>
      </c>
      <c r="G72" s="25" t="s">
        <v>187</v>
      </c>
      <c r="H72" s="25" t="s">
        <v>1496</v>
      </c>
    </row>
    <row r="73" ht="15.75" customHeight="1">
      <c r="A73" s="27" t="s">
        <v>1563</v>
      </c>
      <c r="B73" s="27" t="s">
        <v>535</v>
      </c>
      <c r="C73" s="27" t="s">
        <v>305</v>
      </c>
      <c r="D73" s="27" t="s">
        <v>1486</v>
      </c>
      <c r="E73" s="26">
        <v>7.1</v>
      </c>
      <c r="F73" s="33">
        <v>45297.0</v>
      </c>
      <c r="G73" s="27" t="s">
        <v>181</v>
      </c>
      <c r="H73" s="27" t="s">
        <v>1496</v>
      </c>
    </row>
    <row r="74" ht="15.75" customHeight="1">
      <c r="A74" s="25" t="s">
        <v>1564</v>
      </c>
      <c r="B74" s="25" t="s">
        <v>535</v>
      </c>
      <c r="C74" s="25" t="s">
        <v>344</v>
      </c>
      <c r="D74" s="25" t="s">
        <v>1495</v>
      </c>
      <c r="E74" s="24">
        <v>1.5</v>
      </c>
      <c r="F74" s="30">
        <v>45456.0</v>
      </c>
      <c r="G74" s="25" t="s">
        <v>187</v>
      </c>
      <c r="H74" s="25" t="s">
        <v>1487</v>
      </c>
    </row>
    <row r="75" ht="15.75" customHeight="1">
      <c r="A75" s="27" t="s">
        <v>1565</v>
      </c>
      <c r="B75" s="27" t="s">
        <v>535</v>
      </c>
      <c r="C75" s="27" t="s">
        <v>301</v>
      </c>
      <c r="D75" s="27" t="s">
        <v>1486</v>
      </c>
      <c r="E75" s="26">
        <v>6.2</v>
      </c>
      <c r="F75" s="33">
        <v>45301.0</v>
      </c>
      <c r="G75" s="27" t="s">
        <v>187</v>
      </c>
      <c r="H75" s="27" t="s">
        <v>1487</v>
      </c>
    </row>
    <row r="76" ht="15.75" customHeight="1">
      <c r="A76" s="25" t="s">
        <v>1566</v>
      </c>
      <c r="B76" s="25" t="s">
        <v>535</v>
      </c>
      <c r="C76" s="25" t="s">
        <v>356</v>
      </c>
      <c r="D76" s="25" t="s">
        <v>1486</v>
      </c>
      <c r="E76" s="24">
        <v>5.4</v>
      </c>
      <c r="F76" s="30">
        <v>45382.0</v>
      </c>
      <c r="G76" s="25" t="s">
        <v>187</v>
      </c>
      <c r="H76" s="25" t="s">
        <v>1496</v>
      </c>
    </row>
    <row r="77" ht="15.75" customHeight="1">
      <c r="A77" s="27" t="s">
        <v>1567</v>
      </c>
      <c r="B77" s="27" t="s">
        <v>535</v>
      </c>
      <c r="C77" s="27" t="s">
        <v>370</v>
      </c>
      <c r="D77" s="27" t="s">
        <v>1495</v>
      </c>
      <c r="E77" s="26">
        <v>7.0</v>
      </c>
      <c r="F77" s="33">
        <v>45788.0</v>
      </c>
      <c r="G77" s="27" t="s">
        <v>187</v>
      </c>
      <c r="H77" s="27" t="s">
        <v>1496</v>
      </c>
    </row>
    <row r="78" ht="15.75" customHeight="1">
      <c r="A78" s="25" t="s">
        <v>1568</v>
      </c>
      <c r="B78" s="25" t="s">
        <v>544</v>
      </c>
      <c r="C78" s="25" t="s">
        <v>260</v>
      </c>
      <c r="D78" s="25" t="s">
        <v>1486</v>
      </c>
      <c r="E78" s="24">
        <v>4.3</v>
      </c>
      <c r="F78" s="30">
        <v>45708.0</v>
      </c>
      <c r="G78" s="25" t="s">
        <v>181</v>
      </c>
      <c r="H78" s="25" t="s">
        <v>1487</v>
      </c>
    </row>
    <row r="79" ht="15.75" customHeight="1">
      <c r="A79" s="27" t="s">
        <v>1569</v>
      </c>
      <c r="B79" s="27" t="s">
        <v>544</v>
      </c>
      <c r="C79" s="27" t="s">
        <v>344</v>
      </c>
      <c r="D79" s="27" t="s">
        <v>1495</v>
      </c>
      <c r="E79" s="26">
        <v>0.9</v>
      </c>
      <c r="F79" s="33">
        <v>45235.0</v>
      </c>
      <c r="G79" s="27" t="s">
        <v>187</v>
      </c>
      <c r="H79" s="27" t="s">
        <v>1493</v>
      </c>
    </row>
    <row r="80" ht="15.75" customHeight="1">
      <c r="A80" s="25" t="s">
        <v>1570</v>
      </c>
      <c r="B80" s="25" t="s">
        <v>544</v>
      </c>
      <c r="C80" s="25" t="s">
        <v>365</v>
      </c>
      <c r="D80" s="25" t="s">
        <v>1486</v>
      </c>
      <c r="E80" s="24">
        <v>3.1</v>
      </c>
      <c r="F80" s="30">
        <v>45864.0</v>
      </c>
      <c r="G80" s="25" t="s">
        <v>187</v>
      </c>
      <c r="H80" s="25" t="s">
        <v>1493</v>
      </c>
    </row>
    <row r="81" ht="15.75" customHeight="1">
      <c r="A81" s="27" t="s">
        <v>1571</v>
      </c>
      <c r="B81" s="27" t="s">
        <v>544</v>
      </c>
      <c r="C81" s="27" t="s">
        <v>280</v>
      </c>
      <c r="D81" s="27" t="s">
        <v>1495</v>
      </c>
      <c r="E81" s="26">
        <v>5.9</v>
      </c>
      <c r="F81" s="33">
        <v>45092.0</v>
      </c>
      <c r="G81" s="27" t="s">
        <v>187</v>
      </c>
      <c r="H81" s="27" t="s">
        <v>1496</v>
      </c>
    </row>
    <row r="82" ht="15.75" customHeight="1">
      <c r="A82" s="25" t="s">
        <v>1572</v>
      </c>
      <c r="B82" s="25" t="s">
        <v>544</v>
      </c>
      <c r="C82" s="25" t="s">
        <v>321</v>
      </c>
      <c r="D82" s="25" t="s">
        <v>1495</v>
      </c>
      <c r="E82" s="24">
        <v>7.9</v>
      </c>
      <c r="F82" s="30">
        <v>45568.0</v>
      </c>
      <c r="G82" s="25" t="s">
        <v>187</v>
      </c>
      <c r="H82" s="25" t="s">
        <v>1487</v>
      </c>
    </row>
    <row r="83" ht="15.75" customHeight="1">
      <c r="A83" s="27" t="s">
        <v>1573</v>
      </c>
      <c r="B83" s="27" t="s">
        <v>544</v>
      </c>
      <c r="C83" s="27" t="s">
        <v>359</v>
      </c>
      <c r="D83" s="27" t="s">
        <v>1495</v>
      </c>
      <c r="E83" s="26">
        <v>3.9</v>
      </c>
      <c r="F83" s="33">
        <v>45355.0</v>
      </c>
      <c r="G83" s="27" t="s">
        <v>187</v>
      </c>
      <c r="H83" s="27" t="s">
        <v>1493</v>
      </c>
    </row>
    <row r="84" ht="15.75" customHeight="1">
      <c r="A84" s="25" t="s">
        <v>1574</v>
      </c>
      <c r="B84" s="25" t="s">
        <v>544</v>
      </c>
      <c r="C84" s="25" t="s">
        <v>374</v>
      </c>
      <c r="D84" s="25" t="s">
        <v>1492</v>
      </c>
      <c r="E84" s="24">
        <v>1.7</v>
      </c>
      <c r="F84" s="30">
        <v>45107.0</v>
      </c>
      <c r="G84" s="25" t="s">
        <v>187</v>
      </c>
      <c r="H84" s="25" t="s">
        <v>1493</v>
      </c>
    </row>
    <row r="85" ht="15.75" customHeight="1">
      <c r="A85" s="27" t="s">
        <v>1575</v>
      </c>
      <c r="B85" s="27" t="s">
        <v>552</v>
      </c>
      <c r="C85" s="27" t="s">
        <v>229</v>
      </c>
      <c r="D85" s="27" t="s">
        <v>1486</v>
      </c>
      <c r="E85" s="26">
        <v>6.2</v>
      </c>
      <c r="F85" s="33">
        <v>46014.0</v>
      </c>
      <c r="G85" s="27" t="s">
        <v>181</v>
      </c>
      <c r="H85" s="27" t="s">
        <v>1493</v>
      </c>
    </row>
    <row r="86" ht="15.75" customHeight="1">
      <c r="A86" s="25" t="s">
        <v>1576</v>
      </c>
      <c r="B86" s="25" t="s">
        <v>552</v>
      </c>
      <c r="C86" s="25" t="s">
        <v>284</v>
      </c>
      <c r="D86" s="25" t="s">
        <v>1489</v>
      </c>
      <c r="E86" s="24">
        <v>0.5</v>
      </c>
      <c r="F86" s="30">
        <v>45436.0</v>
      </c>
      <c r="G86" s="25" t="s">
        <v>187</v>
      </c>
      <c r="H86" s="25" t="s">
        <v>1493</v>
      </c>
    </row>
    <row r="87" ht="15.75" customHeight="1">
      <c r="A87" s="27" t="s">
        <v>1577</v>
      </c>
      <c r="B87" s="27" t="s">
        <v>552</v>
      </c>
      <c r="C87" s="27" t="s">
        <v>301</v>
      </c>
      <c r="D87" s="27" t="s">
        <v>1486</v>
      </c>
      <c r="E87" s="26">
        <v>3.1</v>
      </c>
      <c r="F87" s="33">
        <v>45191.0</v>
      </c>
      <c r="G87" s="27" t="s">
        <v>187</v>
      </c>
      <c r="H87" s="27" t="s">
        <v>1493</v>
      </c>
    </row>
    <row r="88" ht="15.75" customHeight="1">
      <c r="A88" s="25" t="s">
        <v>1578</v>
      </c>
      <c r="B88" s="25" t="s">
        <v>552</v>
      </c>
      <c r="C88" s="25" t="s">
        <v>370</v>
      </c>
      <c r="D88" s="25" t="s">
        <v>1492</v>
      </c>
      <c r="E88" s="24">
        <v>4.9</v>
      </c>
      <c r="F88" s="30">
        <v>45269.0</v>
      </c>
      <c r="G88" s="25" t="s">
        <v>187</v>
      </c>
      <c r="H88" s="25" t="s">
        <v>1493</v>
      </c>
    </row>
    <row r="89" ht="15.75" customHeight="1">
      <c r="A89" s="27" t="s">
        <v>1579</v>
      </c>
      <c r="B89" s="27" t="s">
        <v>562</v>
      </c>
      <c r="C89" s="27" t="s">
        <v>340</v>
      </c>
      <c r="D89" s="27" t="s">
        <v>1486</v>
      </c>
      <c r="E89" s="26">
        <v>8.0</v>
      </c>
      <c r="F89" s="33">
        <v>45628.0</v>
      </c>
      <c r="G89" s="27" t="s">
        <v>181</v>
      </c>
      <c r="H89" s="27" t="s">
        <v>1496</v>
      </c>
    </row>
    <row r="90" ht="15.75" customHeight="1">
      <c r="A90" s="25" t="s">
        <v>1580</v>
      </c>
      <c r="B90" s="25" t="s">
        <v>562</v>
      </c>
      <c r="C90" s="25" t="s">
        <v>370</v>
      </c>
      <c r="D90" s="25" t="s">
        <v>1495</v>
      </c>
      <c r="E90" s="24">
        <v>1.9</v>
      </c>
      <c r="F90" s="30">
        <v>45753.0</v>
      </c>
      <c r="G90" s="25" t="s">
        <v>187</v>
      </c>
      <c r="H90" s="25" t="s">
        <v>1493</v>
      </c>
    </row>
    <row r="91" ht="15.75" customHeight="1">
      <c r="A91" s="27" t="s">
        <v>1581</v>
      </c>
      <c r="B91" s="27" t="s">
        <v>562</v>
      </c>
      <c r="C91" s="27" t="s">
        <v>362</v>
      </c>
      <c r="D91" s="27" t="s">
        <v>1495</v>
      </c>
      <c r="E91" s="26">
        <v>6.0</v>
      </c>
      <c r="F91" s="33">
        <v>45195.0</v>
      </c>
      <c r="G91" s="27" t="s">
        <v>187</v>
      </c>
      <c r="H91" s="27" t="s">
        <v>1493</v>
      </c>
    </row>
    <row r="92" ht="15.75" customHeight="1">
      <c r="A92" s="25" t="s">
        <v>1582</v>
      </c>
      <c r="B92" s="25" t="s">
        <v>562</v>
      </c>
      <c r="C92" s="25" t="s">
        <v>336</v>
      </c>
      <c r="D92" s="25" t="s">
        <v>1486</v>
      </c>
      <c r="E92" s="24">
        <v>4.9</v>
      </c>
      <c r="F92" s="30">
        <v>45273.0</v>
      </c>
      <c r="G92" s="25" t="s">
        <v>187</v>
      </c>
      <c r="H92" s="25" t="s">
        <v>1493</v>
      </c>
    </row>
    <row r="93" ht="15.75" customHeight="1">
      <c r="A93" s="27" t="s">
        <v>1583</v>
      </c>
      <c r="B93" s="27" t="s">
        <v>562</v>
      </c>
      <c r="C93" s="27" t="s">
        <v>280</v>
      </c>
      <c r="D93" s="27" t="s">
        <v>1492</v>
      </c>
      <c r="E93" s="26">
        <v>5.4</v>
      </c>
      <c r="F93" s="33">
        <v>45003.0</v>
      </c>
      <c r="G93" s="27" t="s">
        <v>187</v>
      </c>
      <c r="H93" s="27" t="s">
        <v>1496</v>
      </c>
    </row>
    <row r="94" ht="15.75" customHeight="1">
      <c r="A94" s="25" t="s">
        <v>1584</v>
      </c>
      <c r="B94" s="25" t="s">
        <v>562</v>
      </c>
      <c r="C94" s="25" t="s">
        <v>374</v>
      </c>
      <c r="D94" s="25" t="s">
        <v>1486</v>
      </c>
      <c r="E94" s="24">
        <v>2.4</v>
      </c>
      <c r="F94" s="30">
        <v>46022.0</v>
      </c>
      <c r="G94" s="25" t="s">
        <v>187</v>
      </c>
      <c r="H94" s="25" t="s">
        <v>1487</v>
      </c>
    </row>
    <row r="95" ht="15.75" customHeight="1">
      <c r="A95" s="27" t="s">
        <v>1585</v>
      </c>
      <c r="B95" s="27" t="s">
        <v>562</v>
      </c>
      <c r="C95" s="27" t="s">
        <v>263</v>
      </c>
      <c r="D95" s="27" t="s">
        <v>1495</v>
      </c>
      <c r="E95" s="26">
        <v>8.0</v>
      </c>
      <c r="F95" s="33">
        <v>45148.0</v>
      </c>
      <c r="G95" s="27" t="s">
        <v>187</v>
      </c>
      <c r="H95" s="27" t="s">
        <v>1487</v>
      </c>
    </row>
    <row r="96" ht="15.75" customHeight="1">
      <c r="A96" s="25" t="s">
        <v>1586</v>
      </c>
      <c r="B96" s="25" t="s">
        <v>571</v>
      </c>
      <c r="C96" s="25" t="s">
        <v>370</v>
      </c>
      <c r="D96" s="25" t="s">
        <v>1495</v>
      </c>
      <c r="E96" s="24">
        <v>5.8</v>
      </c>
      <c r="F96" s="30">
        <v>45347.0</v>
      </c>
      <c r="G96" s="25" t="s">
        <v>181</v>
      </c>
      <c r="H96" s="25" t="s">
        <v>1487</v>
      </c>
    </row>
    <row r="97" ht="15.75" customHeight="1">
      <c r="A97" s="27" t="s">
        <v>1587</v>
      </c>
      <c r="B97" s="27" t="s">
        <v>571</v>
      </c>
      <c r="C97" s="27" t="s">
        <v>309</v>
      </c>
      <c r="D97" s="27" t="s">
        <v>1486</v>
      </c>
      <c r="E97" s="26">
        <v>0.6</v>
      </c>
      <c r="F97" s="33">
        <v>45788.0</v>
      </c>
      <c r="G97" s="27" t="s">
        <v>187</v>
      </c>
      <c r="H97" s="27" t="s">
        <v>1487</v>
      </c>
    </row>
    <row r="98" ht="15.75" customHeight="1">
      <c r="A98" s="25" t="s">
        <v>1588</v>
      </c>
      <c r="B98" s="25" t="s">
        <v>571</v>
      </c>
      <c r="C98" s="25" t="s">
        <v>333</v>
      </c>
      <c r="D98" s="25" t="s">
        <v>1495</v>
      </c>
      <c r="E98" s="24">
        <v>4.4</v>
      </c>
      <c r="F98" s="30">
        <v>45207.0</v>
      </c>
      <c r="G98" s="25" t="s">
        <v>187</v>
      </c>
      <c r="H98" s="25" t="s">
        <v>1496</v>
      </c>
    </row>
    <row r="99" ht="15.75" customHeight="1">
      <c r="A99" s="27" t="s">
        <v>1589</v>
      </c>
      <c r="B99" s="27" t="s">
        <v>571</v>
      </c>
      <c r="C99" s="27" t="s">
        <v>365</v>
      </c>
      <c r="D99" s="27" t="s">
        <v>1486</v>
      </c>
      <c r="E99" s="26">
        <v>1.3</v>
      </c>
      <c r="F99" s="33">
        <v>45168.0</v>
      </c>
      <c r="G99" s="27" t="s">
        <v>187</v>
      </c>
      <c r="H99" s="27" t="s">
        <v>1496</v>
      </c>
    </row>
    <row r="100" ht="15.75" customHeight="1">
      <c r="A100" s="25" t="s">
        <v>1590</v>
      </c>
      <c r="B100" s="25" t="s">
        <v>571</v>
      </c>
      <c r="C100" s="25" t="s">
        <v>234</v>
      </c>
      <c r="D100" s="25" t="s">
        <v>1495</v>
      </c>
      <c r="E100" s="24">
        <v>1.3</v>
      </c>
      <c r="F100" s="30">
        <v>45333.0</v>
      </c>
      <c r="G100" s="25" t="s">
        <v>187</v>
      </c>
      <c r="H100" s="25" t="s">
        <v>1487</v>
      </c>
    </row>
    <row r="101" ht="15.75" customHeight="1">
      <c r="A101" s="27" t="s">
        <v>1591</v>
      </c>
      <c r="B101" s="27" t="s">
        <v>571</v>
      </c>
      <c r="C101" s="27" t="s">
        <v>359</v>
      </c>
      <c r="D101" s="27" t="s">
        <v>1495</v>
      </c>
      <c r="E101" s="26">
        <v>2.5</v>
      </c>
      <c r="F101" s="33">
        <v>45998.0</v>
      </c>
      <c r="G101" s="27" t="s">
        <v>187</v>
      </c>
      <c r="H101" s="27" t="s">
        <v>1493</v>
      </c>
    </row>
    <row r="102" ht="15.75" customHeight="1">
      <c r="A102" s="25" t="s">
        <v>1592</v>
      </c>
      <c r="B102" s="25" t="s">
        <v>571</v>
      </c>
      <c r="C102" s="25" t="s">
        <v>321</v>
      </c>
      <c r="D102" s="25" t="s">
        <v>1495</v>
      </c>
      <c r="E102" s="24">
        <v>3.6</v>
      </c>
      <c r="F102" s="30">
        <v>45255.0</v>
      </c>
      <c r="G102" s="25" t="s">
        <v>187</v>
      </c>
      <c r="H102" s="25" t="s">
        <v>1493</v>
      </c>
    </row>
    <row r="103" ht="15.75" customHeight="1">
      <c r="A103" s="27" t="s">
        <v>1593</v>
      </c>
      <c r="B103" s="27" t="s">
        <v>581</v>
      </c>
      <c r="C103" s="27" t="s">
        <v>284</v>
      </c>
      <c r="D103" s="27" t="s">
        <v>1486</v>
      </c>
      <c r="E103" s="26">
        <v>6.3</v>
      </c>
      <c r="F103" s="33">
        <v>45080.0</v>
      </c>
      <c r="G103" s="27" t="s">
        <v>181</v>
      </c>
      <c r="H103" s="27" t="s">
        <v>1487</v>
      </c>
    </row>
    <row r="104" ht="15.75" customHeight="1">
      <c r="A104" s="25" t="s">
        <v>1594</v>
      </c>
      <c r="B104" s="25" t="s">
        <v>581</v>
      </c>
      <c r="C104" s="25" t="s">
        <v>253</v>
      </c>
      <c r="D104" s="25" t="s">
        <v>1486</v>
      </c>
      <c r="E104" s="24">
        <v>7.3</v>
      </c>
      <c r="F104" s="30">
        <v>45400.0</v>
      </c>
      <c r="G104" s="25" t="s">
        <v>187</v>
      </c>
      <c r="H104" s="25" t="s">
        <v>1496</v>
      </c>
    </row>
    <row r="105" ht="15.75" customHeight="1">
      <c r="A105" s="27" t="s">
        <v>1595</v>
      </c>
      <c r="B105" s="27" t="s">
        <v>581</v>
      </c>
      <c r="C105" s="27" t="s">
        <v>344</v>
      </c>
      <c r="D105" s="27" t="s">
        <v>1486</v>
      </c>
      <c r="E105" s="26">
        <v>2.7</v>
      </c>
      <c r="F105" s="33">
        <v>45877.0</v>
      </c>
      <c r="G105" s="27" t="s">
        <v>187</v>
      </c>
      <c r="H105" s="27" t="s">
        <v>1493</v>
      </c>
    </row>
    <row r="106" ht="15.75" customHeight="1">
      <c r="A106" s="25" t="s">
        <v>1596</v>
      </c>
      <c r="B106" s="25" t="s">
        <v>581</v>
      </c>
      <c r="C106" s="25" t="s">
        <v>370</v>
      </c>
      <c r="D106" s="25" t="s">
        <v>1495</v>
      </c>
      <c r="E106" s="24">
        <v>1.8</v>
      </c>
      <c r="F106" s="30">
        <v>45007.0</v>
      </c>
      <c r="G106" s="25" t="s">
        <v>187</v>
      </c>
      <c r="H106" s="25" t="s">
        <v>1496</v>
      </c>
    </row>
    <row r="107" ht="15.75" customHeight="1">
      <c r="A107" s="27" t="s">
        <v>1597</v>
      </c>
      <c r="B107" s="27" t="s">
        <v>581</v>
      </c>
      <c r="C107" s="27" t="s">
        <v>348</v>
      </c>
      <c r="D107" s="27" t="s">
        <v>1495</v>
      </c>
      <c r="E107" s="26">
        <v>5.6</v>
      </c>
      <c r="F107" s="33">
        <v>45799.0</v>
      </c>
      <c r="G107" s="27" t="s">
        <v>187</v>
      </c>
      <c r="H107" s="27" t="s">
        <v>1487</v>
      </c>
    </row>
    <row r="108" ht="15.75" customHeight="1">
      <c r="A108" s="25" t="s">
        <v>1598</v>
      </c>
      <c r="B108" s="25" t="s">
        <v>589</v>
      </c>
      <c r="C108" s="25" t="s">
        <v>242</v>
      </c>
      <c r="D108" s="25" t="s">
        <v>1495</v>
      </c>
      <c r="E108" s="24">
        <v>3.8</v>
      </c>
      <c r="F108" s="30">
        <v>45476.0</v>
      </c>
      <c r="G108" s="25" t="s">
        <v>181</v>
      </c>
      <c r="H108" s="25" t="s">
        <v>1487</v>
      </c>
    </row>
    <row r="109" ht="15.75" customHeight="1">
      <c r="A109" s="27" t="s">
        <v>1599</v>
      </c>
      <c r="B109" s="27" t="s">
        <v>589</v>
      </c>
      <c r="C109" s="27" t="s">
        <v>344</v>
      </c>
      <c r="D109" s="27" t="s">
        <v>1495</v>
      </c>
      <c r="E109" s="26">
        <v>6.6</v>
      </c>
      <c r="F109" s="33">
        <v>45301.0</v>
      </c>
      <c r="G109" s="27" t="s">
        <v>187</v>
      </c>
      <c r="H109" s="27" t="s">
        <v>1493</v>
      </c>
    </row>
    <row r="110" ht="15.75" customHeight="1">
      <c r="A110" s="25" t="s">
        <v>1600</v>
      </c>
      <c r="B110" s="25" t="s">
        <v>589</v>
      </c>
      <c r="C110" s="25" t="s">
        <v>374</v>
      </c>
      <c r="D110" s="25" t="s">
        <v>1492</v>
      </c>
      <c r="E110" s="24">
        <v>7.7</v>
      </c>
      <c r="F110" s="30">
        <v>45483.0</v>
      </c>
      <c r="G110" s="25" t="s">
        <v>187</v>
      </c>
      <c r="H110" s="25" t="s">
        <v>1496</v>
      </c>
    </row>
    <row r="111" ht="15.75" customHeight="1">
      <c r="A111" s="27" t="s">
        <v>1601</v>
      </c>
      <c r="B111" s="27" t="s">
        <v>589</v>
      </c>
      <c r="C111" s="27" t="s">
        <v>365</v>
      </c>
      <c r="D111" s="27" t="s">
        <v>1486</v>
      </c>
      <c r="E111" s="26">
        <v>4.1</v>
      </c>
      <c r="F111" s="33">
        <v>45790.0</v>
      </c>
      <c r="G111" s="27" t="s">
        <v>187</v>
      </c>
      <c r="H111" s="27" t="s">
        <v>1487</v>
      </c>
    </row>
    <row r="112" ht="15.75" customHeight="1">
      <c r="A112" s="25" t="s">
        <v>1602</v>
      </c>
      <c r="B112" s="25" t="s">
        <v>589</v>
      </c>
      <c r="C112" s="25" t="s">
        <v>321</v>
      </c>
      <c r="D112" s="25" t="s">
        <v>1486</v>
      </c>
      <c r="E112" s="24">
        <v>1.8</v>
      </c>
      <c r="F112" s="30">
        <v>45198.0</v>
      </c>
      <c r="G112" s="25" t="s">
        <v>187</v>
      </c>
      <c r="H112" s="25" t="s">
        <v>1487</v>
      </c>
    </row>
    <row r="113" ht="15.75" customHeight="1">
      <c r="A113" s="27" t="s">
        <v>1603</v>
      </c>
      <c r="B113" s="27" t="s">
        <v>589</v>
      </c>
      <c r="C113" s="27" t="s">
        <v>317</v>
      </c>
      <c r="D113" s="27" t="s">
        <v>1486</v>
      </c>
      <c r="E113" s="26">
        <v>7.9</v>
      </c>
      <c r="F113" s="33">
        <v>45253.0</v>
      </c>
      <c r="G113" s="27" t="s">
        <v>187</v>
      </c>
      <c r="H113" s="27" t="s">
        <v>1493</v>
      </c>
    </row>
    <row r="114" ht="15.75" customHeight="1">
      <c r="A114" s="25" t="s">
        <v>1604</v>
      </c>
      <c r="B114" s="25" t="s">
        <v>597</v>
      </c>
      <c r="C114" s="25" t="s">
        <v>305</v>
      </c>
      <c r="D114" s="25" t="s">
        <v>1486</v>
      </c>
      <c r="E114" s="24">
        <v>6.0</v>
      </c>
      <c r="F114" s="30">
        <v>45194.0</v>
      </c>
      <c r="G114" s="25" t="s">
        <v>181</v>
      </c>
      <c r="H114" s="25" t="s">
        <v>1496</v>
      </c>
    </row>
    <row r="115" ht="15.75" customHeight="1">
      <c r="A115" s="27" t="s">
        <v>1605</v>
      </c>
      <c r="B115" s="27" t="s">
        <v>597</v>
      </c>
      <c r="C115" s="27" t="s">
        <v>284</v>
      </c>
      <c r="D115" s="27" t="s">
        <v>1486</v>
      </c>
      <c r="E115" s="26">
        <v>1.3</v>
      </c>
      <c r="F115" s="33">
        <v>45769.0</v>
      </c>
      <c r="G115" s="27" t="s">
        <v>187</v>
      </c>
      <c r="H115" s="27" t="s">
        <v>1496</v>
      </c>
    </row>
    <row r="116" ht="15.75" customHeight="1">
      <c r="A116" s="25" t="s">
        <v>1606</v>
      </c>
      <c r="B116" s="25" t="s">
        <v>597</v>
      </c>
      <c r="C116" s="25" t="s">
        <v>356</v>
      </c>
      <c r="D116" s="25" t="s">
        <v>1489</v>
      </c>
      <c r="E116" s="24">
        <v>2.5</v>
      </c>
      <c r="F116" s="30">
        <v>45570.0</v>
      </c>
      <c r="G116" s="25" t="s">
        <v>187</v>
      </c>
      <c r="H116" s="25" t="s">
        <v>1493</v>
      </c>
    </row>
    <row r="117" ht="15.75" customHeight="1">
      <c r="A117" s="27" t="s">
        <v>1607</v>
      </c>
      <c r="B117" s="27" t="s">
        <v>597</v>
      </c>
      <c r="C117" s="27" t="s">
        <v>336</v>
      </c>
      <c r="D117" s="27" t="s">
        <v>1492</v>
      </c>
      <c r="E117" s="26">
        <v>5.6</v>
      </c>
      <c r="F117" s="33">
        <v>45385.0</v>
      </c>
      <c r="G117" s="27" t="s">
        <v>187</v>
      </c>
      <c r="H117" s="27" t="s">
        <v>1487</v>
      </c>
    </row>
    <row r="118" ht="15.75" customHeight="1">
      <c r="A118" s="25" t="s">
        <v>1608</v>
      </c>
      <c r="B118" s="25" t="s">
        <v>597</v>
      </c>
      <c r="C118" s="25" t="s">
        <v>333</v>
      </c>
      <c r="D118" s="25" t="s">
        <v>1486</v>
      </c>
      <c r="E118" s="24">
        <v>4.4</v>
      </c>
      <c r="F118" s="30">
        <v>45122.0</v>
      </c>
      <c r="G118" s="25" t="s">
        <v>187</v>
      </c>
      <c r="H118" s="25" t="s">
        <v>1496</v>
      </c>
    </row>
    <row r="119" ht="15.75" customHeight="1">
      <c r="A119" s="27" t="s">
        <v>1609</v>
      </c>
      <c r="B119" s="27" t="s">
        <v>597</v>
      </c>
      <c r="C119" s="27" t="s">
        <v>365</v>
      </c>
      <c r="D119" s="27" t="s">
        <v>1492</v>
      </c>
      <c r="E119" s="26">
        <v>2.4</v>
      </c>
      <c r="F119" s="33">
        <v>45635.0</v>
      </c>
      <c r="G119" s="27" t="s">
        <v>187</v>
      </c>
      <c r="H119" s="27" t="s">
        <v>1487</v>
      </c>
    </row>
    <row r="120" ht="15.75" customHeight="1">
      <c r="A120" s="25" t="s">
        <v>1610</v>
      </c>
      <c r="B120" s="25" t="s">
        <v>597</v>
      </c>
      <c r="C120" s="25" t="s">
        <v>280</v>
      </c>
      <c r="D120" s="25" t="s">
        <v>1492</v>
      </c>
      <c r="E120" s="24">
        <v>3.4</v>
      </c>
      <c r="F120" s="30">
        <v>45038.0</v>
      </c>
      <c r="G120" s="25" t="s">
        <v>187</v>
      </c>
      <c r="H120" s="25" t="s">
        <v>1493</v>
      </c>
    </row>
    <row r="121" ht="15.75" customHeight="1">
      <c r="A121" s="27" t="s">
        <v>1611</v>
      </c>
      <c r="B121" s="27" t="s">
        <v>597</v>
      </c>
      <c r="C121" s="27" t="s">
        <v>374</v>
      </c>
      <c r="D121" s="27" t="s">
        <v>1492</v>
      </c>
      <c r="E121" s="26">
        <v>1.7</v>
      </c>
      <c r="F121" s="33">
        <v>45888.0</v>
      </c>
      <c r="G121" s="27" t="s">
        <v>187</v>
      </c>
      <c r="H121" s="27" t="s">
        <v>1496</v>
      </c>
    </row>
    <row r="122" ht="15.75" customHeight="1">
      <c r="A122" s="25" t="s">
        <v>1612</v>
      </c>
      <c r="B122" s="25" t="s">
        <v>597</v>
      </c>
      <c r="C122" s="25" t="s">
        <v>295</v>
      </c>
      <c r="D122" s="25" t="s">
        <v>1486</v>
      </c>
      <c r="E122" s="24">
        <v>1.1</v>
      </c>
      <c r="F122" s="30">
        <v>45933.0</v>
      </c>
      <c r="G122" s="25" t="s">
        <v>187</v>
      </c>
      <c r="H122" s="25" t="s">
        <v>1496</v>
      </c>
    </row>
    <row r="123" ht="15.75" customHeight="1">
      <c r="A123" s="27" t="s">
        <v>1613</v>
      </c>
      <c r="B123" s="27" t="s">
        <v>605</v>
      </c>
      <c r="C123" s="27" t="s">
        <v>260</v>
      </c>
      <c r="D123" s="27" t="s">
        <v>1486</v>
      </c>
      <c r="E123" s="26">
        <v>1.1</v>
      </c>
      <c r="F123" s="33">
        <v>45836.0</v>
      </c>
      <c r="G123" s="27" t="s">
        <v>181</v>
      </c>
      <c r="H123" s="27" t="s">
        <v>1487</v>
      </c>
    </row>
    <row r="124" ht="15.75" customHeight="1">
      <c r="A124" s="25" t="s">
        <v>1614</v>
      </c>
      <c r="B124" s="25" t="s">
        <v>605</v>
      </c>
      <c r="C124" s="25" t="s">
        <v>370</v>
      </c>
      <c r="D124" s="25" t="s">
        <v>1492</v>
      </c>
      <c r="E124" s="24">
        <v>6.9</v>
      </c>
      <c r="F124" s="30">
        <v>45842.0</v>
      </c>
      <c r="G124" s="25" t="s">
        <v>187</v>
      </c>
      <c r="H124" s="25" t="s">
        <v>1496</v>
      </c>
    </row>
    <row r="125" ht="15.75" customHeight="1">
      <c r="A125" s="27" t="s">
        <v>1615</v>
      </c>
      <c r="B125" s="27" t="s">
        <v>605</v>
      </c>
      <c r="C125" s="27" t="s">
        <v>325</v>
      </c>
      <c r="D125" s="27" t="s">
        <v>1495</v>
      </c>
      <c r="E125" s="26">
        <v>4.2</v>
      </c>
      <c r="F125" s="33">
        <v>44963.0</v>
      </c>
      <c r="G125" s="27" t="s">
        <v>187</v>
      </c>
      <c r="H125" s="27" t="s">
        <v>1493</v>
      </c>
    </row>
    <row r="126" ht="15.75" customHeight="1">
      <c r="A126" s="25" t="s">
        <v>1616</v>
      </c>
      <c r="B126" s="25" t="s">
        <v>605</v>
      </c>
      <c r="C126" s="25" t="s">
        <v>362</v>
      </c>
      <c r="D126" s="25" t="s">
        <v>1495</v>
      </c>
      <c r="E126" s="24">
        <v>0.8</v>
      </c>
      <c r="F126" s="30">
        <v>44927.0</v>
      </c>
      <c r="G126" s="25" t="s">
        <v>187</v>
      </c>
      <c r="H126" s="25" t="s">
        <v>1493</v>
      </c>
    </row>
    <row r="127" ht="15.75" customHeight="1">
      <c r="A127" s="27" t="s">
        <v>1617</v>
      </c>
      <c r="B127" s="27" t="s">
        <v>605</v>
      </c>
      <c r="C127" s="27" t="s">
        <v>336</v>
      </c>
      <c r="D127" s="27" t="s">
        <v>1486</v>
      </c>
      <c r="E127" s="26">
        <v>7.7</v>
      </c>
      <c r="F127" s="33">
        <v>45550.0</v>
      </c>
      <c r="G127" s="27" t="s">
        <v>187</v>
      </c>
      <c r="H127" s="27" t="s">
        <v>1487</v>
      </c>
    </row>
    <row r="128" ht="15.75" customHeight="1">
      <c r="A128" s="25" t="s">
        <v>1618</v>
      </c>
      <c r="B128" s="25" t="s">
        <v>605</v>
      </c>
      <c r="C128" s="25" t="s">
        <v>266</v>
      </c>
      <c r="D128" s="25" t="s">
        <v>1492</v>
      </c>
      <c r="E128" s="24">
        <v>5.4</v>
      </c>
      <c r="F128" s="30">
        <v>45861.0</v>
      </c>
      <c r="G128" s="25" t="s">
        <v>187</v>
      </c>
      <c r="H128" s="25" t="s">
        <v>1496</v>
      </c>
    </row>
    <row r="129" ht="15.75" customHeight="1">
      <c r="A129" s="27" t="s">
        <v>1619</v>
      </c>
      <c r="B129" s="27" t="s">
        <v>605</v>
      </c>
      <c r="C129" s="27" t="s">
        <v>234</v>
      </c>
      <c r="D129" s="27" t="s">
        <v>1495</v>
      </c>
      <c r="E129" s="26">
        <v>0.9</v>
      </c>
      <c r="F129" s="33">
        <v>45383.0</v>
      </c>
      <c r="G129" s="27" t="s">
        <v>187</v>
      </c>
      <c r="H129" s="27" t="s">
        <v>1496</v>
      </c>
    </row>
    <row r="130" ht="15.75" customHeight="1">
      <c r="A130" s="25" t="s">
        <v>1620</v>
      </c>
      <c r="B130" s="25" t="s">
        <v>613</v>
      </c>
      <c r="C130" s="25" t="s">
        <v>340</v>
      </c>
      <c r="D130" s="25" t="s">
        <v>1495</v>
      </c>
      <c r="E130" s="24">
        <v>5.4</v>
      </c>
      <c r="F130" s="30">
        <v>44931.0</v>
      </c>
      <c r="G130" s="25" t="s">
        <v>181</v>
      </c>
      <c r="H130" s="25" t="s">
        <v>1496</v>
      </c>
    </row>
    <row r="131" ht="15.75" customHeight="1">
      <c r="A131" s="27" t="s">
        <v>1621</v>
      </c>
      <c r="B131" s="27" t="s">
        <v>613</v>
      </c>
      <c r="C131" s="27" t="s">
        <v>284</v>
      </c>
      <c r="D131" s="27" t="s">
        <v>1495</v>
      </c>
      <c r="E131" s="26">
        <v>5.3</v>
      </c>
      <c r="F131" s="33">
        <v>45524.0</v>
      </c>
      <c r="G131" s="27" t="s">
        <v>187</v>
      </c>
      <c r="H131" s="27" t="s">
        <v>1487</v>
      </c>
    </row>
    <row r="132" ht="15.75" customHeight="1">
      <c r="A132" s="25" t="s">
        <v>1622</v>
      </c>
      <c r="B132" s="25" t="s">
        <v>613</v>
      </c>
      <c r="C132" s="25" t="s">
        <v>344</v>
      </c>
      <c r="D132" s="25" t="s">
        <v>1492</v>
      </c>
      <c r="E132" s="24">
        <v>5.8</v>
      </c>
      <c r="F132" s="30">
        <v>45020.0</v>
      </c>
      <c r="G132" s="25" t="s">
        <v>187</v>
      </c>
      <c r="H132" s="25" t="s">
        <v>1493</v>
      </c>
    </row>
    <row r="133" ht="15.75" customHeight="1">
      <c r="A133" s="27" t="s">
        <v>1623</v>
      </c>
      <c r="B133" s="27" t="s">
        <v>613</v>
      </c>
      <c r="C133" s="27" t="s">
        <v>356</v>
      </c>
      <c r="D133" s="27" t="s">
        <v>1492</v>
      </c>
      <c r="E133" s="26">
        <v>6.7</v>
      </c>
      <c r="F133" s="33">
        <v>45765.0</v>
      </c>
      <c r="G133" s="27" t="s">
        <v>187</v>
      </c>
      <c r="H133" s="27" t="s">
        <v>1493</v>
      </c>
    </row>
    <row r="134" ht="15.75" customHeight="1">
      <c r="A134" s="25" t="s">
        <v>1624</v>
      </c>
      <c r="B134" s="25" t="s">
        <v>620</v>
      </c>
      <c r="C134" s="25" t="s">
        <v>242</v>
      </c>
      <c r="D134" s="25" t="s">
        <v>1486</v>
      </c>
      <c r="E134" s="24">
        <v>0.8</v>
      </c>
      <c r="F134" s="30">
        <v>45179.0</v>
      </c>
      <c r="G134" s="25" t="s">
        <v>181</v>
      </c>
      <c r="H134" s="25" t="s">
        <v>1496</v>
      </c>
    </row>
    <row r="135" ht="15.75" customHeight="1">
      <c r="A135" s="27" t="s">
        <v>1625</v>
      </c>
      <c r="B135" s="27" t="s">
        <v>620</v>
      </c>
      <c r="C135" s="27" t="s">
        <v>370</v>
      </c>
      <c r="D135" s="27" t="s">
        <v>1492</v>
      </c>
      <c r="E135" s="26">
        <v>4.9</v>
      </c>
      <c r="F135" s="33">
        <v>45959.0</v>
      </c>
      <c r="G135" s="27" t="s">
        <v>187</v>
      </c>
      <c r="H135" s="27" t="s">
        <v>1493</v>
      </c>
    </row>
    <row r="136" ht="15.75" customHeight="1">
      <c r="A136" s="25" t="s">
        <v>1626</v>
      </c>
      <c r="B136" s="25" t="s">
        <v>620</v>
      </c>
      <c r="C136" s="25" t="s">
        <v>253</v>
      </c>
      <c r="D136" s="25" t="s">
        <v>1486</v>
      </c>
      <c r="E136" s="24">
        <v>0.5</v>
      </c>
      <c r="F136" s="30">
        <v>45026.0</v>
      </c>
      <c r="G136" s="25" t="s">
        <v>187</v>
      </c>
      <c r="H136" s="25" t="s">
        <v>1487</v>
      </c>
    </row>
    <row r="137" ht="15.75" customHeight="1">
      <c r="A137" s="27" t="s">
        <v>1627</v>
      </c>
      <c r="B137" s="27" t="s">
        <v>620</v>
      </c>
      <c r="C137" s="27" t="s">
        <v>298</v>
      </c>
      <c r="D137" s="27" t="s">
        <v>1486</v>
      </c>
      <c r="E137" s="26">
        <v>6.8</v>
      </c>
      <c r="F137" s="33">
        <v>45916.0</v>
      </c>
      <c r="G137" s="27" t="s">
        <v>187</v>
      </c>
      <c r="H137" s="27" t="s">
        <v>1487</v>
      </c>
    </row>
    <row r="138" ht="15.75" customHeight="1">
      <c r="A138" s="25" t="s">
        <v>1628</v>
      </c>
      <c r="B138" s="25" t="s">
        <v>628</v>
      </c>
      <c r="C138" s="25" t="s">
        <v>340</v>
      </c>
      <c r="D138" s="25" t="s">
        <v>1486</v>
      </c>
      <c r="E138" s="24">
        <v>3.6</v>
      </c>
      <c r="F138" s="30">
        <v>45435.0</v>
      </c>
      <c r="G138" s="25" t="s">
        <v>181</v>
      </c>
      <c r="H138" s="25" t="s">
        <v>1496</v>
      </c>
    </row>
    <row r="139" ht="15.75" customHeight="1">
      <c r="A139" s="27" t="s">
        <v>1629</v>
      </c>
      <c r="B139" s="27" t="s">
        <v>628</v>
      </c>
      <c r="C139" s="27" t="s">
        <v>370</v>
      </c>
      <c r="D139" s="27" t="s">
        <v>1495</v>
      </c>
      <c r="E139" s="26">
        <v>3.1</v>
      </c>
      <c r="F139" s="33">
        <v>45529.0</v>
      </c>
      <c r="G139" s="27" t="s">
        <v>187</v>
      </c>
      <c r="H139" s="27" t="s">
        <v>1496</v>
      </c>
    </row>
    <row r="140" ht="15.75" customHeight="1">
      <c r="A140" s="25" t="s">
        <v>1630</v>
      </c>
      <c r="B140" s="25" t="s">
        <v>628</v>
      </c>
      <c r="C140" s="25" t="s">
        <v>325</v>
      </c>
      <c r="D140" s="25" t="s">
        <v>1486</v>
      </c>
      <c r="E140" s="24">
        <v>1.5</v>
      </c>
      <c r="F140" s="30">
        <v>45976.0</v>
      </c>
      <c r="G140" s="25" t="s">
        <v>187</v>
      </c>
      <c r="H140" s="25" t="s">
        <v>1496</v>
      </c>
    </row>
    <row r="141" ht="15.75" customHeight="1">
      <c r="A141" s="27" t="s">
        <v>1631</v>
      </c>
      <c r="B141" s="27" t="s">
        <v>628</v>
      </c>
      <c r="C141" s="27" t="s">
        <v>348</v>
      </c>
      <c r="D141" s="27" t="s">
        <v>1486</v>
      </c>
      <c r="E141" s="26">
        <v>4.6</v>
      </c>
      <c r="F141" s="33">
        <v>45569.0</v>
      </c>
      <c r="G141" s="27" t="s">
        <v>187</v>
      </c>
      <c r="H141" s="27" t="s">
        <v>1487</v>
      </c>
    </row>
    <row r="142" ht="15.75" customHeight="1">
      <c r="A142" s="25" t="s">
        <v>1632</v>
      </c>
      <c r="B142" s="25" t="s">
        <v>628</v>
      </c>
      <c r="C142" s="25" t="s">
        <v>309</v>
      </c>
      <c r="D142" s="25" t="s">
        <v>1486</v>
      </c>
      <c r="E142" s="24">
        <v>4.7</v>
      </c>
      <c r="F142" s="30">
        <v>45372.0</v>
      </c>
      <c r="G142" s="25" t="s">
        <v>187</v>
      </c>
      <c r="H142" s="25" t="s">
        <v>1493</v>
      </c>
    </row>
    <row r="143" ht="15.75" customHeight="1">
      <c r="A143" s="27" t="s">
        <v>1633</v>
      </c>
      <c r="B143" s="27" t="s">
        <v>628</v>
      </c>
      <c r="C143" s="27" t="s">
        <v>374</v>
      </c>
      <c r="D143" s="27" t="s">
        <v>1495</v>
      </c>
      <c r="E143" s="26">
        <v>5.9</v>
      </c>
      <c r="F143" s="33">
        <v>45634.0</v>
      </c>
      <c r="G143" s="27" t="s">
        <v>187</v>
      </c>
      <c r="H143" s="27" t="s">
        <v>1487</v>
      </c>
    </row>
    <row r="144" ht="15.75" customHeight="1">
      <c r="A144" s="25" t="s">
        <v>1634</v>
      </c>
      <c r="B144" s="25" t="s">
        <v>628</v>
      </c>
      <c r="C144" s="25" t="s">
        <v>295</v>
      </c>
      <c r="D144" s="25" t="s">
        <v>1495</v>
      </c>
      <c r="E144" s="24">
        <v>5.8</v>
      </c>
      <c r="F144" s="30">
        <v>45291.0</v>
      </c>
      <c r="G144" s="25" t="s">
        <v>187</v>
      </c>
      <c r="H144" s="25" t="s">
        <v>1487</v>
      </c>
    </row>
    <row r="145" ht="15.75" customHeight="1">
      <c r="A145" s="27" t="s">
        <v>1635</v>
      </c>
      <c r="B145" s="27" t="s">
        <v>628</v>
      </c>
      <c r="C145" s="27" t="s">
        <v>250</v>
      </c>
      <c r="D145" s="27" t="s">
        <v>1492</v>
      </c>
      <c r="E145" s="26">
        <v>5.3</v>
      </c>
      <c r="F145" s="33">
        <v>45163.0</v>
      </c>
      <c r="G145" s="27" t="s">
        <v>187</v>
      </c>
      <c r="H145" s="27" t="s">
        <v>1496</v>
      </c>
    </row>
    <row r="146" ht="15.75" customHeight="1">
      <c r="A146" s="25" t="s">
        <v>1636</v>
      </c>
      <c r="B146" s="25" t="s">
        <v>635</v>
      </c>
      <c r="C146" s="25" t="s">
        <v>305</v>
      </c>
      <c r="D146" s="25" t="s">
        <v>1495</v>
      </c>
      <c r="E146" s="24">
        <v>3.4</v>
      </c>
      <c r="F146" s="30">
        <v>45035.0</v>
      </c>
      <c r="G146" s="25" t="s">
        <v>181</v>
      </c>
      <c r="H146" s="25" t="s">
        <v>1487</v>
      </c>
    </row>
    <row r="147" ht="15.75" customHeight="1">
      <c r="A147" s="27" t="s">
        <v>1637</v>
      </c>
      <c r="B147" s="27" t="s">
        <v>635</v>
      </c>
      <c r="C147" s="27" t="s">
        <v>344</v>
      </c>
      <c r="D147" s="27" t="s">
        <v>1489</v>
      </c>
      <c r="E147" s="26">
        <v>2.5</v>
      </c>
      <c r="F147" s="33">
        <v>45256.0</v>
      </c>
      <c r="G147" s="27" t="s">
        <v>187</v>
      </c>
      <c r="H147" s="27" t="s">
        <v>1496</v>
      </c>
    </row>
    <row r="148" ht="15.75" customHeight="1">
      <c r="A148" s="25" t="s">
        <v>1638</v>
      </c>
      <c r="B148" s="25" t="s">
        <v>635</v>
      </c>
      <c r="C148" s="25" t="s">
        <v>356</v>
      </c>
      <c r="D148" s="25" t="s">
        <v>1492</v>
      </c>
      <c r="E148" s="24">
        <v>1.6</v>
      </c>
      <c r="F148" s="30">
        <v>45054.0</v>
      </c>
      <c r="G148" s="25" t="s">
        <v>187</v>
      </c>
      <c r="H148" s="25" t="s">
        <v>1487</v>
      </c>
    </row>
    <row r="149" ht="15.75" customHeight="1">
      <c r="A149" s="27" t="s">
        <v>1639</v>
      </c>
      <c r="B149" s="27" t="s">
        <v>635</v>
      </c>
      <c r="C149" s="27" t="s">
        <v>370</v>
      </c>
      <c r="D149" s="27" t="s">
        <v>1486</v>
      </c>
      <c r="E149" s="26">
        <v>2.0</v>
      </c>
      <c r="F149" s="33">
        <v>44993.0</v>
      </c>
      <c r="G149" s="27" t="s">
        <v>187</v>
      </c>
      <c r="H149" s="27" t="s">
        <v>1496</v>
      </c>
    </row>
    <row r="150" ht="15.75" customHeight="1">
      <c r="A150" s="25" t="s">
        <v>1640</v>
      </c>
      <c r="B150" s="25" t="s">
        <v>635</v>
      </c>
      <c r="C150" s="25" t="s">
        <v>336</v>
      </c>
      <c r="D150" s="25" t="s">
        <v>1486</v>
      </c>
      <c r="E150" s="24">
        <v>1.3</v>
      </c>
      <c r="F150" s="30">
        <v>45386.0</v>
      </c>
      <c r="G150" s="25" t="s">
        <v>187</v>
      </c>
      <c r="H150" s="25" t="s">
        <v>1487</v>
      </c>
    </row>
    <row r="151" ht="15.75" customHeight="1">
      <c r="A151" s="27" t="s">
        <v>1641</v>
      </c>
      <c r="B151" s="27" t="s">
        <v>635</v>
      </c>
      <c r="C151" s="27" t="s">
        <v>309</v>
      </c>
      <c r="D151" s="27" t="s">
        <v>1492</v>
      </c>
      <c r="E151" s="26">
        <v>3.4</v>
      </c>
      <c r="F151" s="33">
        <v>45973.0</v>
      </c>
      <c r="G151" s="27" t="s">
        <v>187</v>
      </c>
      <c r="H151" s="27" t="s">
        <v>1487</v>
      </c>
    </row>
    <row r="152" ht="15.75" customHeight="1">
      <c r="A152" s="25" t="s">
        <v>1642</v>
      </c>
      <c r="B152" s="25" t="s">
        <v>635</v>
      </c>
      <c r="C152" s="25" t="s">
        <v>313</v>
      </c>
      <c r="D152" s="25" t="s">
        <v>1495</v>
      </c>
      <c r="E152" s="24">
        <v>5.5</v>
      </c>
      <c r="F152" s="30">
        <v>45708.0</v>
      </c>
      <c r="G152" s="25" t="s">
        <v>187</v>
      </c>
      <c r="H152" s="25" t="s">
        <v>1496</v>
      </c>
    </row>
    <row r="153" ht="15.75" customHeight="1">
      <c r="A153" s="27" t="s">
        <v>1643</v>
      </c>
      <c r="B153" s="27" t="s">
        <v>635</v>
      </c>
      <c r="C153" s="27" t="s">
        <v>365</v>
      </c>
      <c r="D153" s="27" t="s">
        <v>1492</v>
      </c>
      <c r="E153" s="26">
        <v>6.4</v>
      </c>
      <c r="F153" s="33">
        <v>45567.0</v>
      </c>
      <c r="G153" s="27" t="s">
        <v>187</v>
      </c>
      <c r="H153" s="27" t="s">
        <v>1487</v>
      </c>
    </row>
    <row r="154" ht="15.75" customHeight="1">
      <c r="A154" s="25" t="s">
        <v>1644</v>
      </c>
      <c r="B154" s="25" t="s">
        <v>643</v>
      </c>
      <c r="C154" s="25" t="s">
        <v>229</v>
      </c>
      <c r="D154" s="25" t="s">
        <v>1492</v>
      </c>
      <c r="E154" s="24">
        <v>5.4</v>
      </c>
      <c r="F154" s="30">
        <v>45329.0</v>
      </c>
      <c r="G154" s="25" t="s">
        <v>181</v>
      </c>
      <c r="H154" s="25" t="s">
        <v>1487</v>
      </c>
    </row>
    <row r="155" ht="15.75" customHeight="1">
      <c r="A155" s="27" t="s">
        <v>1645</v>
      </c>
      <c r="B155" s="27" t="s">
        <v>643</v>
      </c>
      <c r="C155" s="27" t="s">
        <v>329</v>
      </c>
      <c r="D155" s="27" t="s">
        <v>1486</v>
      </c>
      <c r="E155" s="26">
        <v>2.7</v>
      </c>
      <c r="F155" s="33">
        <v>45290.0</v>
      </c>
      <c r="G155" s="27" t="s">
        <v>187</v>
      </c>
      <c r="H155" s="27" t="s">
        <v>1487</v>
      </c>
    </row>
    <row r="156" ht="15.75" customHeight="1">
      <c r="A156" s="25" t="s">
        <v>1646</v>
      </c>
      <c r="B156" s="25" t="s">
        <v>643</v>
      </c>
      <c r="C156" s="25" t="s">
        <v>370</v>
      </c>
      <c r="D156" s="25" t="s">
        <v>1489</v>
      </c>
      <c r="E156" s="24">
        <v>7.7</v>
      </c>
      <c r="F156" s="30">
        <v>45979.0</v>
      </c>
      <c r="G156" s="25" t="s">
        <v>187</v>
      </c>
      <c r="H156" s="25" t="s">
        <v>1493</v>
      </c>
    </row>
    <row r="157" ht="15.75" customHeight="1">
      <c r="A157" s="27" t="s">
        <v>1647</v>
      </c>
      <c r="B157" s="27" t="s">
        <v>643</v>
      </c>
      <c r="C157" s="27" t="s">
        <v>325</v>
      </c>
      <c r="D157" s="27" t="s">
        <v>1495</v>
      </c>
      <c r="E157" s="26">
        <v>3.7</v>
      </c>
      <c r="F157" s="33">
        <v>45468.0</v>
      </c>
      <c r="G157" s="27" t="s">
        <v>187</v>
      </c>
      <c r="H157" s="27" t="s">
        <v>1493</v>
      </c>
    </row>
    <row r="158" ht="15.75" customHeight="1">
      <c r="A158" s="25" t="s">
        <v>1648</v>
      </c>
      <c r="B158" s="25" t="s">
        <v>643</v>
      </c>
      <c r="C158" s="25" t="s">
        <v>362</v>
      </c>
      <c r="D158" s="25" t="s">
        <v>1495</v>
      </c>
      <c r="E158" s="24">
        <v>6.8</v>
      </c>
      <c r="F158" s="30">
        <v>44938.0</v>
      </c>
      <c r="G158" s="25" t="s">
        <v>187</v>
      </c>
      <c r="H158" s="25" t="s">
        <v>1496</v>
      </c>
    </row>
    <row r="159" ht="15.75" customHeight="1">
      <c r="A159" s="27" t="s">
        <v>1649</v>
      </c>
      <c r="B159" s="27" t="s">
        <v>643</v>
      </c>
      <c r="C159" s="27" t="s">
        <v>313</v>
      </c>
      <c r="D159" s="27" t="s">
        <v>1492</v>
      </c>
      <c r="E159" s="26">
        <v>7.5</v>
      </c>
      <c r="F159" s="33">
        <v>45008.0</v>
      </c>
      <c r="G159" s="27" t="s">
        <v>187</v>
      </c>
      <c r="H159" s="27" t="s">
        <v>1493</v>
      </c>
    </row>
    <row r="160" ht="15.75" customHeight="1">
      <c r="A160" s="25" t="s">
        <v>1650</v>
      </c>
      <c r="B160" s="25" t="s">
        <v>643</v>
      </c>
      <c r="C160" s="25" t="s">
        <v>365</v>
      </c>
      <c r="D160" s="25" t="s">
        <v>1486</v>
      </c>
      <c r="E160" s="24">
        <v>5.0</v>
      </c>
      <c r="F160" s="30">
        <v>45543.0</v>
      </c>
      <c r="G160" s="25" t="s">
        <v>187</v>
      </c>
      <c r="H160" s="25" t="s">
        <v>1496</v>
      </c>
    </row>
    <row r="161" ht="15.75" customHeight="1">
      <c r="A161" s="27" t="s">
        <v>1651</v>
      </c>
      <c r="B161" s="27" t="s">
        <v>651</v>
      </c>
      <c r="C161" s="27" t="s">
        <v>288</v>
      </c>
      <c r="D161" s="27" t="s">
        <v>1492</v>
      </c>
      <c r="E161" s="26">
        <v>3.5</v>
      </c>
      <c r="F161" s="33">
        <v>45642.0</v>
      </c>
      <c r="G161" s="27" t="s">
        <v>181</v>
      </c>
      <c r="H161" s="27" t="s">
        <v>1493</v>
      </c>
    </row>
    <row r="162" ht="15.75" customHeight="1">
      <c r="A162" s="25" t="s">
        <v>1652</v>
      </c>
      <c r="B162" s="25" t="s">
        <v>651</v>
      </c>
      <c r="C162" s="25" t="s">
        <v>344</v>
      </c>
      <c r="D162" s="25" t="s">
        <v>1486</v>
      </c>
      <c r="E162" s="24">
        <v>5.5</v>
      </c>
      <c r="F162" s="30">
        <v>45605.0</v>
      </c>
      <c r="G162" s="25" t="s">
        <v>187</v>
      </c>
      <c r="H162" s="25" t="s">
        <v>1496</v>
      </c>
    </row>
    <row r="163" ht="15.75" customHeight="1">
      <c r="A163" s="27" t="s">
        <v>1653</v>
      </c>
      <c r="B163" s="27" t="s">
        <v>651</v>
      </c>
      <c r="C163" s="27" t="s">
        <v>325</v>
      </c>
      <c r="D163" s="27" t="s">
        <v>1495</v>
      </c>
      <c r="E163" s="26">
        <v>7.6</v>
      </c>
      <c r="F163" s="33">
        <v>46013.0</v>
      </c>
      <c r="G163" s="27" t="s">
        <v>187</v>
      </c>
      <c r="H163" s="27" t="s">
        <v>1496</v>
      </c>
    </row>
    <row r="164" ht="15.75" customHeight="1">
      <c r="A164" s="25" t="s">
        <v>1654</v>
      </c>
      <c r="B164" s="25" t="s">
        <v>651</v>
      </c>
      <c r="C164" s="25" t="s">
        <v>362</v>
      </c>
      <c r="D164" s="25" t="s">
        <v>1486</v>
      </c>
      <c r="E164" s="24">
        <v>6.7</v>
      </c>
      <c r="F164" s="30">
        <v>44945.0</v>
      </c>
      <c r="G164" s="25" t="s">
        <v>187</v>
      </c>
      <c r="H164" s="25" t="s">
        <v>1493</v>
      </c>
    </row>
    <row r="165" ht="15.75" customHeight="1">
      <c r="A165" s="27" t="s">
        <v>1655</v>
      </c>
      <c r="B165" s="27" t="s">
        <v>651</v>
      </c>
      <c r="C165" s="27" t="s">
        <v>309</v>
      </c>
      <c r="D165" s="27" t="s">
        <v>1492</v>
      </c>
      <c r="E165" s="26">
        <v>3.8</v>
      </c>
      <c r="F165" s="33">
        <v>45426.0</v>
      </c>
      <c r="G165" s="27" t="s">
        <v>187</v>
      </c>
      <c r="H165" s="27" t="s">
        <v>1493</v>
      </c>
    </row>
    <row r="166" ht="15.75" customHeight="1">
      <c r="A166" s="25" t="s">
        <v>1656</v>
      </c>
      <c r="B166" s="25" t="s">
        <v>651</v>
      </c>
      <c r="C166" s="25" t="s">
        <v>266</v>
      </c>
      <c r="D166" s="25" t="s">
        <v>1492</v>
      </c>
      <c r="E166" s="24">
        <v>2.9</v>
      </c>
      <c r="F166" s="30">
        <v>45159.0</v>
      </c>
      <c r="G166" s="25" t="s">
        <v>187</v>
      </c>
      <c r="H166" s="25" t="s">
        <v>1496</v>
      </c>
    </row>
    <row r="167" ht="15.75" customHeight="1">
      <c r="A167" s="27" t="s">
        <v>1657</v>
      </c>
      <c r="B167" s="27" t="s">
        <v>651</v>
      </c>
      <c r="C167" s="27" t="s">
        <v>365</v>
      </c>
      <c r="D167" s="27" t="s">
        <v>1495</v>
      </c>
      <c r="E167" s="26">
        <v>5.9</v>
      </c>
      <c r="F167" s="33">
        <v>44977.0</v>
      </c>
      <c r="G167" s="27" t="s">
        <v>187</v>
      </c>
      <c r="H167" s="27" t="s">
        <v>1487</v>
      </c>
    </row>
    <row r="168" ht="15.75" customHeight="1">
      <c r="A168" s="25" t="s">
        <v>1658</v>
      </c>
      <c r="B168" s="25" t="s">
        <v>658</v>
      </c>
      <c r="C168" s="25" t="s">
        <v>329</v>
      </c>
      <c r="D168" s="25" t="s">
        <v>1495</v>
      </c>
      <c r="E168" s="24">
        <v>7.7</v>
      </c>
      <c r="F168" s="30">
        <v>46019.0</v>
      </c>
      <c r="G168" s="25" t="s">
        <v>181</v>
      </c>
      <c r="H168" s="25" t="s">
        <v>1493</v>
      </c>
    </row>
    <row r="169" ht="15.75" customHeight="1">
      <c r="A169" s="27" t="s">
        <v>1659</v>
      </c>
      <c r="B169" s="27" t="s">
        <v>658</v>
      </c>
      <c r="C169" s="27" t="s">
        <v>284</v>
      </c>
      <c r="D169" s="27" t="s">
        <v>1492</v>
      </c>
      <c r="E169" s="26">
        <v>2.1</v>
      </c>
      <c r="F169" s="33">
        <v>45363.0</v>
      </c>
      <c r="G169" s="27" t="s">
        <v>187</v>
      </c>
      <c r="H169" s="27" t="s">
        <v>1487</v>
      </c>
    </row>
    <row r="170" ht="15.75" customHeight="1">
      <c r="A170" s="25" t="s">
        <v>1660</v>
      </c>
      <c r="B170" s="25" t="s">
        <v>658</v>
      </c>
      <c r="C170" s="25" t="s">
        <v>288</v>
      </c>
      <c r="D170" s="25" t="s">
        <v>1492</v>
      </c>
      <c r="E170" s="24">
        <v>1.3</v>
      </c>
      <c r="F170" s="30">
        <v>45818.0</v>
      </c>
      <c r="G170" s="25" t="s">
        <v>187</v>
      </c>
      <c r="H170" s="25" t="s">
        <v>1487</v>
      </c>
    </row>
    <row r="171" ht="15.75" customHeight="1">
      <c r="A171" s="27" t="s">
        <v>1661</v>
      </c>
      <c r="B171" s="27" t="s">
        <v>658</v>
      </c>
      <c r="C171" s="27" t="s">
        <v>340</v>
      </c>
      <c r="D171" s="27" t="s">
        <v>1486</v>
      </c>
      <c r="E171" s="26">
        <v>1.0</v>
      </c>
      <c r="F171" s="33">
        <v>45241.0</v>
      </c>
      <c r="G171" s="27" t="s">
        <v>187</v>
      </c>
      <c r="H171" s="27" t="s">
        <v>1493</v>
      </c>
    </row>
    <row r="172" ht="15.75" customHeight="1">
      <c r="A172" s="25" t="s">
        <v>1662</v>
      </c>
      <c r="B172" s="25" t="s">
        <v>665</v>
      </c>
      <c r="C172" s="25" t="s">
        <v>329</v>
      </c>
      <c r="D172" s="25" t="s">
        <v>1495</v>
      </c>
      <c r="E172" s="24">
        <v>3.9</v>
      </c>
      <c r="F172" s="30">
        <v>45755.0</v>
      </c>
      <c r="G172" s="25" t="s">
        <v>181</v>
      </c>
      <c r="H172" s="25" t="s">
        <v>1496</v>
      </c>
    </row>
    <row r="173" ht="15.75" customHeight="1">
      <c r="A173" s="27" t="s">
        <v>1663</v>
      </c>
      <c r="B173" s="27" t="s">
        <v>665</v>
      </c>
      <c r="C173" s="27" t="s">
        <v>344</v>
      </c>
      <c r="D173" s="27" t="s">
        <v>1495</v>
      </c>
      <c r="E173" s="26">
        <v>3.4</v>
      </c>
      <c r="F173" s="33">
        <v>45169.0</v>
      </c>
      <c r="G173" s="27" t="s">
        <v>187</v>
      </c>
      <c r="H173" s="27" t="s">
        <v>1487</v>
      </c>
    </row>
    <row r="174" ht="15.75" customHeight="1">
      <c r="A174" s="25" t="s">
        <v>1664</v>
      </c>
      <c r="B174" s="25" t="s">
        <v>665</v>
      </c>
      <c r="C174" s="25" t="s">
        <v>362</v>
      </c>
      <c r="D174" s="25" t="s">
        <v>1489</v>
      </c>
      <c r="E174" s="24">
        <v>5.9</v>
      </c>
      <c r="F174" s="30">
        <v>45056.0</v>
      </c>
      <c r="G174" s="25" t="s">
        <v>187</v>
      </c>
      <c r="H174" s="25" t="s">
        <v>1487</v>
      </c>
    </row>
    <row r="175" ht="15.75" customHeight="1">
      <c r="A175" s="27" t="s">
        <v>1665</v>
      </c>
      <c r="B175" s="27" t="s">
        <v>665</v>
      </c>
      <c r="C175" s="27" t="s">
        <v>309</v>
      </c>
      <c r="D175" s="27" t="s">
        <v>1492</v>
      </c>
      <c r="E175" s="26">
        <v>5.8</v>
      </c>
      <c r="F175" s="33">
        <v>45075.0</v>
      </c>
      <c r="G175" s="27" t="s">
        <v>187</v>
      </c>
      <c r="H175" s="27" t="s">
        <v>1496</v>
      </c>
    </row>
    <row r="176" ht="15.75" customHeight="1">
      <c r="A176" s="25" t="s">
        <v>1666</v>
      </c>
      <c r="B176" s="25" t="s">
        <v>665</v>
      </c>
      <c r="C176" s="25" t="s">
        <v>266</v>
      </c>
      <c r="D176" s="25" t="s">
        <v>1486</v>
      </c>
      <c r="E176" s="24">
        <v>1.3</v>
      </c>
      <c r="F176" s="30">
        <v>45544.0</v>
      </c>
      <c r="G176" s="25" t="s">
        <v>187</v>
      </c>
      <c r="H176" s="25" t="s">
        <v>1487</v>
      </c>
    </row>
    <row r="177" ht="15.75" customHeight="1">
      <c r="A177" s="27" t="s">
        <v>1667</v>
      </c>
      <c r="B177" s="27" t="s">
        <v>665</v>
      </c>
      <c r="C177" s="27" t="s">
        <v>365</v>
      </c>
      <c r="D177" s="27" t="s">
        <v>1489</v>
      </c>
      <c r="E177" s="26">
        <v>6.2</v>
      </c>
      <c r="F177" s="33">
        <v>45823.0</v>
      </c>
      <c r="G177" s="27" t="s">
        <v>187</v>
      </c>
      <c r="H177" s="27" t="s">
        <v>1496</v>
      </c>
    </row>
    <row r="178" ht="15.75" customHeight="1">
      <c r="A178" s="25" t="s">
        <v>1668</v>
      </c>
      <c r="B178" s="25" t="s">
        <v>675</v>
      </c>
      <c r="C178" s="25" t="s">
        <v>229</v>
      </c>
      <c r="D178" s="25" t="s">
        <v>1495</v>
      </c>
      <c r="E178" s="24">
        <v>5.6</v>
      </c>
      <c r="F178" s="30">
        <v>45691.0</v>
      </c>
      <c r="G178" s="25" t="s">
        <v>181</v>
      </c>
      <c r="H178" s="25" t="s">
        <v>1493</v>
      </c>
    </row>
    <row r="179" ht="15.75" customHeight="1">
      <c r="A179" s="27" t="s">
        <v>1669</v>
      </c>
      <c r="B179" s="27" t="s">
        <v>675</v>
      </c>
      <c r="C179" s="27" t="s">
        <v>305</v>
      </c>
      <c r="D179" s="27" t="s">
        <v>1492</v>
      </c>
      <c r="E179" s="26">
        <v>4.7</v>
      </c>
      <c r="F179" s="33">
        <v>45179.0</v>
      </c>
      <c r="G179" s="27" t="s">
        <v>187</v>
      </c>
      <c r="H179" s="27" t="s">
        <v>1493</v>
      </c>
    </row>
    <row r="180" ht="15.75" customHeight="1">
      <c r="A180" s="25" t="s">
        <v>1670</v>
      </c>
      <c r="B180" s="25" t="s">
        <v>675</v>
      </c>
      <c r="C180" s="25" t="s">
        <v>284</v>
      </c>
      <c r="D180" s="25" t="s">
        <v>1489</v>
      </c>
      <c r="E180" s="24">
        <v>5.0</v>
      </c>
      <c r="F180" s="30">
        <v>45101.0</v>
      </c>
      <c r="G180" s="25" t="s">
        <v>187</v>
      </c>
      <c r="H180" s="25" t="s">
        <v>1496</v>
      </c>
    </row>
    <row r="181" ht="15.75" customHeight="1">
      <c r="A181" s="27" t="s">
        <v>1671</v>
      </c>
      <c r="B181" s="27" t="s">
        <v>675</v>
      </c>
      <c r="C181" s="27" t="s">
        <v>344</v>
      </c>
      <c r="D181" s="27" t="s">
        <v>1495</v>
      </c>
      <c r="E181" s="26">
        <v>6.1</v>
      </c>
      <c r="F181" s="33">
        <v>45631.0</v>
      </c>
      <c r="G181" s="27" t="s">
        <v>187</v>
      </c>
      <c r="H181" s="27" t="s">
        <v>1493</v>
      </c>
    </row>
    <row r="182" ht="15.75" customHeight="1">
      <c r="A182" s="25" t="s">
        <v>1672</v>
      </c>
      <c r="B182" s="25" t="s">
        <v>675</v>
      </c>
      <c r="C182" s="25" t="s">
        <v>370</v>
      </c>
      <c r="D182" s="25" t="s">
        <v>1492</v>
      </c>
      <c r="E182" s="24">
        <v>5.3</v>
      </c>
      <c r="F182" s="30">
        <v>45976.0</v>
      </c>
      <c r="G182" s="25" t="s">
        <v>187</v>
      </c>
      <c r="H182" s="25" t="s">
        <v>1493</v>
      </c>
    </row>
    <row r="183" ht="15.75" customHeight="1">
      <c r="A183" s="27" t="s">
        <v>1673</v>
      </c>
      <c r="B183" s="27" t="s">
        <v>675</v>
      </c>
      <c r="C183" s="27" t="s">
        <v>325</v>
      </c>
      <c r="D183" s="27" t="s">
        <v>1495</v>
      </c>
      <c r="E183" s="26">
        <v>2.2</v>
      </c>
      <c r="F183" s="33">
        <v>45444.0</v>
      </c>
      <c r="G183" s="27" t="s">
        <v>187</v>
      </c>
      <c r="H183" s="27" t="s">
        <v>1493</v>
      </c>
    </row>
    <row r="184" ht="15.75" customHeight="1">
      <c r="A184" s="25" t="s">
        <v>1674</v>
      </c>
      <c r="B184" s="25" t="s">
        <v>675</v>
      </c>
      <c r="C184" s="25" t="s">
        <v>250</v>
      </c>
      <c r="D184" s="25" t="s">
        <v>1495</v>
      </c>
      <c r="E184" s="24">
        <v>5.5</v>
      </c>
      <c r="F184" s="30">
        <v>45038.0</v>
      </c>
      <c r="G184" s="25" t="s">
        <v>187</v>
      </c>
      <c r="H184" s="25" t="s">
        <v>1487</v>
      </c>
    </row>
    <row r="185" ht="15.75" customHeight="1">
      <c r="A185" s="27" t="s">
        <v>1675</v>
      </c>
      <c r="B185" s="27" t="s">
        <v>675</v>
      </c>
      <c r="C185" s="27" t="s">
        <v>359</v>
      </c>
      <c r="D185" s="27" t="s">
        <v>1492</v>
      </c>
      <c r="E185" s="26">
        <v>4.6</v>
      </c>
      <c r="F185" s="33">
        <v>45522.0</v>
      </c>
      <c r="G185" s="27" t="s">
        <v>187</v>
      </c>
      <c r="H185" s="27" t="s">
        <v>1487</v>
      </c>
    </row>
    <row r="186" ht="15.75" customHeight="1">
      <c r="A186" s="25" t="s">
        <v>1676</v>
      </c>
      <c r="B186" s="25" t="s">
        <v>675</v>
      </c>
      <c r="C186" s="25" t="s">
        <v>374</v>
      </c>
      <c r="D186" s="25" t="s">
        <v>1489</v>
      </c>
      <c r="E186" s="24">
        <v>1.2</v>
      </c>
      <c r="F186" s="30">
        <v>45924.0</v>
      </c>
      <c r="G186" s="25" t="s">
        <v>187</v>
      </c>
      <c r="H186" s="25" t="s">
        <v>1496</v>
      </c>
    </row>
    <row r="187" ht="15.75" customHeight="1">
      <c r="A187" s="27" t="s">
        <v>1677</v>
      </c>
      <c r="B187" s="27" t="s">
        <v>682</v>
      </c>
      <c r="C187" s="27" t="s">
        <v>305</v>
      </c>
      <c r="D187" s="27" t="s">
        <v>1492</v>
      </c>
      <c r="E187" s="26">
        <v>3.0</v>
      </c>
      <c r="F187" s="33">
        <v>45553.0</v>
      </c>
      <c r="G187" s="27" t="s">
        <v>181</v>
      </c>
      <c r="H187" s="27" t="s">
        <v>1487</v>
      </c>
    </row>
    <row r="188" ht="15.75" customHeight="1">
      <c r="A188" s="25" t="s">
        <v>1678</v>
      </c>
      <c r="B188" s="25" t="s">
        <v>682</v>
      </c>
      <c r="C188" s="25" t="s">
        <v>246</v>
      </c>
      <c r="D188" s="25" t="s">
        <v>1492</v>
      </c>
      <c r="E188" s="24">
        <v>4.7</v>
      </c>
      <c r="F188" s="30">
        <v>45673.0</v>
      </c>
      <c r="G188" s="25" t="s">
        <v>187</v>
      </c>
      <c r="H188" s="25" t="s">
        <v>1496</v>
      </c>
    </row>
    <row r="189" ht="15.75" customHeight="1">
      <c r="A189" s="27" t="s">
        <v>1679</v>
      </c>
      <c r="B189" s="27" t="s">
        <v>682</v>
      </c>
      <c r="C189" s="27" t="s">
        <v>301</v>
      </c>
      <c r="D189" s="27" t="s">
        <v>1486</v>
      </c>
      <c r="E189" s="26">
        <v>1.8</v>
      </c>
      <c r="F189" s="33">
        <v>45568.0</v>
      </c>
      <c r="G189" s="27" t="s">
        <v>187</v>
      </c>
      <c r="H189" s="27" t="s">
        <v>1493</v>
      </c>
    </row>
    <row r="190" ht="15.75" customHeight="1">
      <c r="A190" s="25" t="s">
        <v>1680</v>
      </c>
      <c r="B190" s="25" t="s">
        <v>682</v>
      </c>
      <c r="C190" s="25" t="s">
        <v>329</v>
      </c>
      <c r="D190" s="25" t="s">
        <v>1486</v>
      </c>
      <c r="E190" s="24">
        <v>5.8</v>
      </c>
      <c r="F190" s="30">
        <v>45820.0</v>
      </c>
      <c r="G190" s="25" t="s">
        <v>187</v>
      </c>
      <c r="H190" s="25" t="s">
        <v>1496</v>
      </c>
    </row>
    <row r="191" ht="15.75" customHeight="1">
      <c r="A191" s="27" t="s">
        <v>1681</v>
      </c>
      <c r="B191" s="27" t="s">
        <v>682</v>
      </c>
      <c r="C191" s="27" t="s">
        <v>362</v>
      </c>
      <c r="D191" s="27" t="s">
        <v>1486</v>
      </c>
      <c r="E191" s="26">
        <v>1.5</v>
      </c>
      <c r="F191" s="33">
        <v>45606.0</v>
      </c>
      <c r="G191" s="27" t="s">
        <v>187</v>
      </c>
      <c r="H191" s="27" t="s">
        <v>1496</v>
      </c>
    </row>
    <row r="192" ht="15.75" customHeight="1">
      <c r="A192" s="25" t="s">
        <v>1682</v>
      </c>
      <c r="B192" s="25" t="s">
        <v>682</v>
      </c>
      <c r="C192" s="25" t="s">
        <v>365</v>
      </c>
      <c r="D192" s="25" t="s">
        <v>1492</v>
      </c>
      <c r="E192" s="24">
        <v>3.2</v>
      </c>
      <c r="F192" s="30">
        <v>45552.0</v>
      </c>
      <c r="G192" s="25" t="s">
        <v>187</v>
      </c>
      <c r="H192" s="25" t="s">
        <v>1496</v>
      </c>
    </row>
    <row r="193" ht="15.75" customHeight="1">
      <c r="A193" s="27" t="s">
        <v>1683</v>
      </c>
      <c r="B193" s="27" t="s">
        <v>689</v>
      </c>
      <c r="C193" s="27" t="s">
        <v>301</v>
      </c>
      <c r="D193" s="27" t="s">
        <v>1492</v>
      </c>
      <c r="E193" s="26">
        <v>5.2</v>
      </c>
      <c r="F193" s="33">
        <v>45081.0</v>
      </c>
      <c r="G193" s="27" t="s">
        <v>181</v>
      </c>
      <c r="H193" s="27" t="s">
        <v>1493</v>
      </c>
    </row>
    <row r="194" ht="15.75" customHeight="1">
      <c r="A194" s="25" t="s">
        <v>1684</v>
      </c>
      <c r="B194" s="25" t="s">
        <v>689</v>
      </c>
      <c r="C194" s="25" t="s">
        <v>356</v>
      </c>
      <c r="D194" s="25" t="s">
        <v>1486</v>
      </c>
      <c r="E194" s="24">
        <v>5.2</v>
      </c>
      <c r="F194" s="30">
        <v>45756.0</v>
      </c>
      <c r="G194" s="25" t="s">
        <v>187</v>
      </c>
      <c r="H194" s="25" t="s">
        <v>1487</v>
      </c>
    </row>
    <row r="195" ht="15.75" customHeight="1">
      <c r="A195" s="27" t="s">
        <v>1685</v>
      </c>
      <c r="B195" s="27" t="s">
        <v>689</v>
      </c>
      <c r="C195" s="27" t="s">
        <v>336</v>
      </c>
      <c r="D195" s="27" t="s">
        <v>1495</v>
      </c>
      <c r="E195" s="26">
        <v>0.8</v>
      </c>
      <c r="F195" s="33">
        <v>45460.0</v>
      </c>
      <c r="G195" s="27" t="s">
        <v>187</v>
      </c>
      <c r="H195" s="27" t="s">
        <v>1487</v>
      </c>
    </row>
    <row r="196" ht="15.75" customHeight="1">
      <c r="A196" s="25" t="s">
        <v>1686</v>
      </c>
      <c r="B196" s="25" t="s">
        <v>689</v>
      </c>
      <c r="C196" s="25" t="s">
        <v>365</v>
      </c>
      <c r="D196" s="25" t="s">
        <v>1486</v>
      </c>
      <c r="E196" s="24">
        <v>4.5</v>
      </c>
      <c r="F196" s="30">
        <v>45231.0</v>
      </c>
      <c r="G196" s="25" t="s">
        <v>187</v>
      </c>
      <c r="H196" s="25" t="s">
        <v>1496</v>
      </c>
    </row>
    <row r="197" ht="15.75" customHeight="1">
      <c r="A197" s="27" t="s">
        <v>1687</v>
      </c>
      <c r="B197" s="27" t="s">
        <v>689</v>
      </c>
      <c r="C197" s="27" t="s">
        <v>321</v>
      </c>
      <c r="D197" s="27" t="s">
        <v>1495</v>
      </c>
      <c r="E197" s="26">
        <v>7.2</v>
      </c>
      <c r="F197" s="33">
        <v>45522.0</v>
      </c>
      <c r="G197" s="27" t="s">
        <v>187</v>
      </c>
      <c r="H197" s="27" t="s">
        <v>1493</v>
      </c>
    </row>
    <row r="198" ht="15.75" customHeight="1">
      <c r="A198" s="25" t="s">
        <v>1688</v>
      </c>
      <c r="B198" s="25" t="s">
        <v>689</v>
      </c>
      <c r="C198" s="25" t="s">
        <v>374</v>
      </c>
      <c r="D198" s="25" t="s">
        <v>1492</v>
      </c>
      <c r="E198" s="24">
        <v>4.3</v>
      </c>
      <c r="F198" s="30">
        <v>45739.0</v>
      </c>
      <c r="G198" s="25" t="s">
        <v>187</v>
      </c>
      <c r="H198" s="25" t="s">
        <v>1496</v>
      </c>
    </row>
    <row r="199" ht="15.75" customHeight="1">
      <c r="A199" s="27" t="s">
        <v>1689</v>
      </c>
      <c r="B199" s="27" t="s">
        <v>698</v>
      </c>
      <c r="C199" s="27" t="s">
        <v>305</v>
      </c>
      <c r="D199" s="27" t="s">
        <v>1495</v>
      </c>
      <c r="E199" s="26">
        <v>3.6</v>
      </c>
      <c r="F199" s="33">
        <v>45226.0</v>
      </c>
      <c r="G199" s="27" t="s">
        <v>181</v>
      </c>
      <c r="H199" s="27" t="s">
        <v>1487</v>
      </c>
    </row>
    <row r="200" ht="15.75" customHeight="1">
      <c r="A200" s="25" t="s">
        <v>1690</v>
      </c>
      <c r="B200" s="25" t="s">
        <v>698</v>
      </c>
      <c r="C200" s="25" t="s">
        <v>344</v>
      </c>
      <c r="D200" s="25" t="s">
        <v>1492</v>
      </c>
      <c r="E200" s="24">
        <v>5.7</v>
      </c>
      <c r="F200" s="30">
        <v>45009.0</v>
      </c>
      <c r="G200" s="25" t="s">
        <v>187</v>
      </c>
      <c r="H200" s="25" t="s">
        <v>1493</v>
      </c>
    </row>
    <row r="201" ht="15.75" customHeight="1">
      <c r="A201" s="27" t="s">
        <v>1691</v>
      </c>
      <c r="B201" s="27" t="s">
        <v>698</v>
      </c>
      <c r="C201" s="27" t="s">
        <v>336</v>
      </c>
      <c r="D201" s="27" t="s">
        <v>1492</v>
      </c>
      <c r="E201" s="26">
        <v>1.8</v>
      </c>
      <c r="F201" s="33">
        <v>45468.0</v>
      </c>
      <c r="G201" s="27" t="s">
        <v>187</v>
      </c>
      <c r="H201" s="27" t="s">
        <v>1496</v>
      </c>
    </row>
    <row r="202" ht="15.75" customHeight="1">
      <c r="A202" s="25" t="s">
        <v>1692</v>
      </c>
      <c r="B202" s="25" t="s">
        <v>698</v>
      </c>
      <c r="C202" s="25" t="s">
        <v>365</v>
      </c>
      <c r="D202" s="25" t="s">
        <v>1495</v>
      </c>
      <c r="E202" s="24">
        <v>4.2</v>
      </c>
      <c r="F202" s="30">
        <v>45987.0</v>
      </c>
      <c r="G202" s="25" t="s">
        <v>187</v>
      </c>
      <c r="H202" s="25" t="s">
        <v>1496</v>
      </c>
    </row>
    <row r="203" ht="15.75" customHeight="1">
      <c r="A203" s="27" t="s">
        <v>1693</v>
      </c>
      <c r="B203" s="27" t="s">
        <v>698</v>
      </c>
      <c r="C203" s="27" t="s">
        <v>374</v>
      </c>
      <c r="D203" s="27" t="s">
        <v>1495</v>
      </c>
      <c r="E203" s="26">
        <v>5.5</v>
      </c>
      <c r="F203" s="33">
        <v>45022.0</v>
      </c>
      <c r="G203" s="27" t="s">
        <v>187</v>
      </c>
      <c r="H203" s="27" t="s">
        <v>1493</v>
      </c>
    </row>
    <row r="204" ht="15.75" customHeight="1">
      <c r="A204" s="25" t="s">
        <v>1694</v>
      </c>
      <c r="B204" s="25" t="s">
        <v>698</v>
      </c>
      <c r="C204" s="25" t="s">
        <v>256</v>
      </c>
      <c r="D204" s="25" t="s">
        <v>1486</v>
      </c>
      <c r="E204" s="24">
        <v>2.3</v>
      </c>
      <c r="F204" s="30">
        <v>45994.0</v>
      </c>
      <c r="G204" s="25" t="s">
        <v>187</v>
      </c>
      <c r="H204" s="25" t="s">
        <v>1487</v>
      </c>
    </row>
    <row r="205" ht="15.75" customHeight="1">
      <c r="A205" s="27" t="s">
        <v>1695</v>
      </c>
      <c r="B205" s="27" t="s">
        <v>698</v>
      </c>
      <c r="C205" s="27" t="s">
        <v>353</v>
      </c>
      <c r="D205" s="27" t="s">
        <v>1486</v>
      </c>
      <c r="E205" s="26">
        <v>5.1</v>
      </c>
      <c r="F205" s="33">
        <v>45466.0</v>
      </c>
      <c r="G205" s="27" t="s">
        <v>187</v>
      </c>
      <c r="H205" s="27" t="s">
        <v>1487</v>
      </c>
    </row>
    <row r="206" ht="15.75" customHeight="1">
      <c r="A206" s="25" t="s">
        <v>1696</v>
      </c>
      <c r="B206" s="25" t="s">
        <v>705</v>
      </c>
      <c r="C206" s="25" t="s">
        <v>270</v>
      </c>
      <c r="D206" s="25" t="s">
        <v>1486</v>
      </c>
      <c r="E206" s="24">
        <v>2.2</v>
      </c>
      <c r="F206" s="30">
        <v>45758.0</v>
      </c>
      <c r="G206" s="25" t="s">
        <v>181</v>
      </c>
      <c r="H206" s="25" t="s">
        <v>1496</v>
      </c>
    </row>
    <row r="207" ht="15.75" customHeight="1">
      <c r="A207" s="27" t="s">
        <v>1697</v>
      </c>
      <c r="B207" s="27" t="s">
        <v>705</v>
      </c>
      <c r="C207" s="27" t="s">
        <v>340</v>
      </c>
      <c r="D207" s="27" t="s">
        <v>1486</v>
      </c>
      <c r="E207" s="26">
        <v>3.1</v>
      </c>
      <c r="F207" s="33">
        <v>45914.0</v>
      </c>
      <c r="G207" s="27" t="s">
        <v>187</v>
      </c>
      <c r="H207" s="27" t="s">
        <v>1487</v>
      </c>
    </row>
    <row r="208" ht="15.75" customHeight="1">
      <c r="A208" s="25" t="s">
        <v>1698</v>
      </c>
      <c r="B208" s="25" t="s">
        <v>705</v>
      </c>
      <c r="C208" s="25" t="s">
        <v>370</v>
      </c>
      <c r="D208" s="25" t="s">
        <v>1489</v>
      </c>
      <c r="E208" s="24">
        <v>7.1</v>
      </c>
      <c r="F208" s="30">
        <v>45827.0</v>
      </c>
      <c r="G208" s="25" t="s">
        <v>187</v>
      </c>
      <c r="H208" s="25" t="s">
        <v>1493</v>
      </c>
    </row>
    <row r="209" ht="15.75" customHeight="1">
      <c r="A209" s="27" t="s">
        <v>1699</v>
      </c>
      <c r="B209" s="27" t="s">
        <v>705</v>
      </c>
      <c r="C209" s="27" t="s">
        <v>301</v>
      </c>
      <c r="D209" s="27" t="s">
        <v>1495</v>
      </c>
      <c r="E209" s="26">
        <v>4.4</v>
      </c>
      <c r="F209" s="33">
        <v>45502.0</v>
      </c>
      <c r="G209" s="27" t="s">
        <v>187</v>
      </c>
      <c r="H209" s="27" t="s">
        <v>1493</v>
      </c>
    </row>
    <row r="210" ht="15.75" customHeight="1">
      <c r="A210" s="25" t="s">
        <v>1700</v>
      </c>
      <c r="B210" s="25" t="s">
        <v>705</v>
      </c>
      <c r="C210" s="25" t="s">
        <v>336</v>
      </c>
      <c r="D210" s="25" t="s">
        <v>1495</v>
      </c>
      <c r="E210" s="24">
        <v>1.7</v>
      </c>
      <c r="F210" s="30">
        <v>45169.0</v>
      </c>
      <c r="G210" s="25" t="s">
        <v>187</v>
      </c>
      <c r="H210" s="25" t="s">
        <v>1487</v>
      </c>
    </row>
    <row r="211" ht="15.75" customHeight="1">
      <c r="A211" s="27" t="s">
        <v>1701</v>
      </c>
      <c r="B211" s="27" t="s">
        <v>705</v>
      </c>
      <c r="C211" s="27" t="s">
        <v>348</v>
      </c>
      <c r="D211" s="27" t="s">
        <v>1495</v>
      </c>
      <c r="E211" s="26">
        <v>6.6</v>
      </c>
      <c r="F211" s="33">
        <v>45159.0</v>
      </c>
      <c r="G211" s="27" t="s">
        <v>187</v>
      </c>
      <c r="H211" s="27" t="s">
        <v>1496</v>
      </c>
    </row>
    <row r="212" ht="15.75" customHeight="1">
      <c r="A212" s="25" t="s">
        <v>1702</v>
      </c>
      <c r="B212" s="25" t="s">
        <v>705</v>
      </c>
      <c r="C212" s="25" t="s">
        <v>374</v>
      </c>
      <c r="D212" s="25" t="s">
        <v>1492</v>
      </c>
      <c r="E212" s="24">
        <v>4.1</v>
      </c>
      <c r="F212" s="30">
        <v>45257.0</v>
      </c>
      <c r="G212" s="25" t="s">
        <v>187</v>
      </c>
      <c r="H212" s="25" t="s">
        <v>1487</v>
      </c>
    </row>
    <row r="213" ht="15.75" customHeight="1">
      <c r="A213" s="27" t="s">
        <v>1703</v>
      </c>
      <c r="B213" s="27" t="s">
        <v>712</v>
      </c>
      <c r="C213" s="27" t="s">
        <v>229</v>
      </c>
      <c r="D213" s="27" t="s">
        <v>1495</v>
      </c>
      <c r="E213" s="26">
        <v>1.4</v>
      </c>
      <c r="F213" s="33">
        <v>45295.0</v>
      </c>
      <c r="G213" s="27" t="s">
        <v>181</v>
      </c>
      <c r="H213" s="27" t="s">
        <v>1487</v>
      </c>
    </row>
    <row r="214" ht="15.75" customHeight="1">
      <c r="A214" s="25" t="s">
        <v>1704</v>
      </c>
      <c r="B214" s="25" t="s">
        <v>712</v>
      </c>
      <c r="C214" s="25" t="s">
        <v>246</v>
      </c>
      <c r="D214" s="25" t="s">
        <v>1486</v>
      </c>
      <c r="E214" s="24">
        <v>3.8</v>
      </c>
      <c r="F214" s="30">
        <v>44965.0</v>
      </c>
      <c r="G214" s="25" t="s">
        <v>187</v>
      </c>
      <c r="H214" s="25" t="s">
        <v>1487</v>
      </c>
    </row>
    <row r="215" ht="15.75" customHeight="1">
      <c r="A215" s="27" t="s">
        <v>1705</v>
      </c>
      <c r="B215" s="27" t="s">
        <v>712</v>
      </c>
      <c r="C215" s="27" t="s">
        <v>325</v>
      </c>
      <c r="D215" s="27" t="s">
        <v>1492</v>
      </c>
      <c r="E215" s="26">
        <v>5.0</v>
      </c>
      <c r="F215" s="33">
        <v>45102.0</v>
      </c>
      <c r="G215" s="27" t="s">
        <v>187</v>
      </c>
      <c r="H215" s="27" t="s">
        <v>1493</v>
      </c>
    </row>
    <row r="216" ht="15.75" customHeight="1">
      <c r="A216" s="25" t="s">
        <v>1706</v>
      </c>
      <c r="B216" s="25" t="s">
        <v>712</v>
      </c>
      <c r="C216" s="25" t="s">
        <v>336</v>
      </c>
      <c r="D216" s="25" t="s">
        <v>1495</v>
      </c>
      <c r="E216" s="24">
        <v>6.0</v>
      </c>
      <c r="F216" s="30">
        <v>45913.0</v>
      </c>
      <c r="G216" s="25" t="s">
        <v>187</v>
      </c>
      <c r="H216" s="25" t="s">
        <v>1493</v>
      </c>
    </row>
    <row r="217" ht="15.75" customHeight="1">
      <c r="A217" s="27" t="s">
        <v>1707</v>
      </c>
      <c r="B217" s="27" t="s">
        <v>712</v>
      </c>
      <c r="C217" s="27" t="s">
        <v>365</v>
      </c>
      <c r="D217" s="27" t="s">
        <v>1495</v>
      </c>
      <c r="E217" s="26">
        <v>2.8</v>
      </c>
      <c r="F217" s="33">
        <v>45219.0</v>
      </c>
      <c r="G217" s="27" t="s">
        <v>187</v>
      </c>
      <c r="H217" s="27" t="s">
        <v>1487</v>
      </c>
    </row>
    <row r="218" ht="15.75" customHeight="1">
      <c r="A218" s="25" t="s">
        <v>1708</v>
      </c>
      <c r="B218" s="25" t="s">
        <v>712</v>
      </c>
      <c r="C218" s="25" t="s">
        <v>234</v>
      </c>
      <c r="D218" s="25" t="s">
        <v>1486</v>
      </c>
      <c r="E218" s="24">
        <v>1.5</v>
      </c>
      <c r="F218" s="30">
        <v>45973.0</v>
      </c>
      <c r="G218" s="25" t="s">
        <v>187</v>
      </c>
      <c r="H218" s="25" t="s">
        <v>1496</v>
      </c>
    </row>
    <row r="219" ht="15.75" customHeight="1">
      <c r="A219" s="27" t="s">
        <v>1709</v>
      </c>
      <c r="B219" s="27" t="s">
        <v>712</v>
      </c>
      <c r="C219" s="27" t="s">
        <v>374</v>
      </c>
      <c r="D219" s="27" t="s">
        <v>1495</v>
      </c>
      <c r="E219" s="26">
        <v>4.3</v>
      </c>
      <c r="F219" s="33">
        <v>45855.0</v>
      </c>
      <c r="G219" s="27" t="s">
        <v>187</v>
      </c>
      <c r="H219" s="27" t="s">
        <v>1487</v>
      </c>
    </row>
    <row r="220" ht="15.75" customHeight="1">
      <c r="A220" s="25" t="s">
        <v>1710</v>
      </c>
      <c r="B220" s="25" t="s">
        <v>712</v>
      </c>
      <c r="C220" s="25" t="s">
        <v>295</v>
      </c>
      <c r="D220" s="25" t="s">
        <v>1492</v>
      </c>
      <c r="E220" s="24">
        <v>1.8</v>
      </c>
      <c r="F220" s="30">
        <v>45716.0</v>
      </c>
      <c r="G220" s="25" t="s">
        <v>187</v>
      </c>
      <c r="H220" s="25" t="s">
        <v>1493</v>
      </c>
    </row>
    <row r="221" ht="15.75" customHeight="1">
      <c r="A221" s="27" t="s">
        <v>1711</v>
      </c>
      <c r="B221" s="27" t="s">
        <v>721</v>
      </c>
      <c r="C221" s="27" t="s">
        <v>229</v>
      </c>
      <c r="D221" s="27" t="s">
        <v>1492</v>
      </c>
      <c r="E221" s="26">
        <v>5.1</v>
      </c>
      <c r="F221" s="33">
        <v>45006.0</v>
      </c>
      <c r="G221" s="27" t="s">
        <v>181</v>
      </c>
      <c r="H221" s="27" t="s">
        <v>1487</v>
      </c>
    </row>
    <row r="222" ht="15.75" customHeight="1">
      <c r="A222" s="25" t="s">
        <v>1712</v>
      </c>
      <c r="B222" s="25" t="s">
        <v>721</v>
      </c>
      <c r="C222" s="25" t="s">
        <v>344</v>
      </c>
      <c r="D222" s="25" t="s">
        <v>1492</v>
      </c>
      <c r="E222" s="24">
        <v>1.4</v>
      </c>
      <c r="F222" s="30">
        <v>45914.0</v>
      </c>
      <c r="G222" s="25" t="s">
        <v>187</v>
      </c>
      <c r="H222" s="25" t="s">
        <v>1487</v>
      </c>
    </row>
    <row r="223" ht="15.75" customHeight="1">
      <c r="A223" s="27" t="s">
        <v>1713</v>
      </c>
      <c r="B223" s="27" t="s">
        <v>721</v>
      </c>
      <c r="C223" s="27" t="s">
        <v>253</v>
      </c>
      <c r="D223" s="27" t="s">
        <v>1489</v>
      </c>
      <c r="E223" s="26">
        <v>5.0</v>
      </c>
      <c r="F223" s="33">
        <v>44929.0</v>
      </c>
      <c r="G223" s="27" t="s">
        <v>187</v>
      </c>
      <c r="H223" s="27" t="s">
        <v>1487</v>
      </c>
    </row>
    <row r="224" ht="15.75" customHeight="1">
      <c r="A224" s="25" t="s">
        <v>1714</v>
      </c>
      <c r="B224" s="25" t="s">
        <v>721</v>
      </c>
      <c r="C224" s="25" t="s">
        <v>336</v>
      </c>
      <c r="D224" s="25" t="s">
        <v>1492</v>
      </c>
      <c r="E224" s="24">
        <v>4.4</v>
      </c>
      <c r="F224" s="30">
        <v>45685.0</v>
      </c>
      <c r="G224" s="25" t="s">
        <v>187</v>
      </c>
      <c r="H224" s="25" t="s">
        <v>1493</v>
      </c>
    </row>
    <row r="225" ht="15.75" customHeight="1">
      <c r="A225" s="27" t="s">
        <v>1715</v>
      </c>
      <c r="B225" s="27" t="s">
        <v>721</v>
      </c>
      <c r="C225" s="27" t="s">
        <v>365</v>
      </c>
      <c r="D225" s="27" t="s">
        <v>1492</v>
      </c>
      <c r="E225" s="26">
        <v>3.7</v>
      </c>
      <c r="F225" s="33">
        <v>45914.0</v>
      </c>
      <c r="G225" s="27" t="s">
        <v>187</v>
      </c>
      <c r="H225" s="27" t="s">
        <v>1496</v>
      </c>
    </row>
    <row r="226" ht="15.75" customHeight="1">
      <c r="A226" s="25" t="s">
        <v>1716</v>
      </c>
      <c r="B226" s="25" t="s">
        <v>729</v>
      </c>
      <c r="C226" s="25" t="s">
        <v>370</v>
      </c>
      <c r="D226" s="25" t="s">
        <v>1492</v>
      </c>
      <c r="E226" s="24">
        <v>7.3</v>
      </c>
      <c r="F226" s="30">
        <v>45098.0</v>
      </c>
      <c r="G226" s="25" t="s">
        <v>181</v>
      </c>
      <c r="H226" s="25" t="s">
        <v>1496</v>
      </c>
    </row>
    <row r="227" ht="15.75" customHeight="1">
      <c r="A227" s="27" t="s">
        <v>1717</v>
      </c>
      <c r="B227" s="27" t="s">
        <v>729</v>
      </c>
      <c r="C227" s="27" t="s">
        <v>336</v>
      </c>
      <c r="D227" s="27" t="s">
        <v>1492</v>
      </c>
      <c r="E227" s="26">
        <v>4.6</v>
      </c>
      <c r="F227" s="33">
        <v>45454.0</v>
      </c>
      <c r="G227" s="27" t="s">
        <v>187</v>
      </c>
      <c r="H227" s="27" t="s">
        <v>1493</v>
      </c>
    </row>
    <row r="228" ht="15.75" customHeight="1">
      <c r="A228" s="25" t="s">
        <v>1718</v>
      </c>
      <c r="B228" s="25" t="s">
        <v>729</v>
      </c>
      <c r="C228" s="25" t="s">
        <v>309</v>
      </c>
      <c r="D228" s="25" t="s">
        <v>1489</v>
      </c>
      <c r="E228" s="24">
        <v>6.1</v>
      </c>
      <c r="F228" s="30">
        <v>44941.0</v>
      </c>
      <c r="G228" s="25" t="s">
        <v>187</v>
      </c>
      <c r="H228" s="25" t="s">
        <v>1487</v>
      </c>
    </row>
    <row r="229" ht="15.75" customHeight="1">
      <c r="A229" s="27" t="s">
        <v>1719</v>
      </c>
      <c r="B229" s="27" t="s">
        <v>729</v>
      </c>
      <c r="C229" s="27" t="s">
        <v>313</v>
      </c>
      <c r="D229" s="27" t="s">
        <v>1492</v>
      </c>
      <c r="E229" s="26">
        <v>4.4</v>
      </c>
      <c r="F229" s="33">
        <v>45695.0</v>
      </c>
      <c r="G229" s="27" t="s">
        <v>187</v>
      </c>
      <c r="H229" s="27" t="s">
        <v>1487</v>
      </c>
    </row>
    <row r="230" ht="15.75" customHeight="1">
      <c r="A230" s="25" t="s">
        <v>1720</v>
      </c>
      <c r="B230" s="25" t="s">
        <v>729</v>
      </c>
      <c r="C230" s="25" t="s">
        <v>365</v>
      </c>
      <c r="D230" s="25" t="s">
        <v>1495</v>
      </c>
      <c r="E230" s="24">
        <v>6.5</v>
      </c>
      <c r="F230" s="30">
        <v>45764.0</v>
      </c>
      <c r="G230" s="25" t="s">
        <v>187</v>
      </c>
      <c r="H230" s="25" t="s">
        <v>1496</v>
      </c>
    </row>
    <row r="231" ht="15.75" customHeight="1">
      <c r="A231" s="27" t="s">
        <v>1721</v>
      </c>
      <c r="B231" s="27" t="s">
        <v>729</v>
      </c>
      <c r="C231" s="27" t="s">
        <v>321</v>
      </c>
      <c r="D231" s="27" t="s">
        <v>1489</v>
      </c>
      <c r="E231" s="26">
        <v>3.7</v>
      </c>
      <c r="F231" s="33">
        <v>45446.0</v>
      </c>
      <c r="G231" s="27" t="s">
        <v>187</v>
      </c>
      <c r="H231" s="27" t="s">
        <v>1496</v>
      </c>
    </row>
    <row r="232" ht="15.75" customHeight="1">
      <c r="A232" s="25" t="s">
        <v>1722</v>
      </c>
      <c r="B232" s="25" t="s">
        <v>729</v>
      </c>
      <c r="C232" s="25" t="s">
        <v>359</v>
      </c>
      <c r="D232" s="25" t="s">
        <v>1486</v>
      </c>
      <c r="E232" s="24">
        <v>3.7</v>
      </c>
      <c r="F232" s="30">
        <v>45675.0</v>
      </c>
      <c r="G232" s="25" t="s">
        <v>187</v>
      </c>
      <c r="H232" s="25" t="s">
        <v>1487</v>
      </c>
    </row>
    <row r="233" ht="15.75" customHeight="1">
      <c r="A233" s="27" t="s">
        <v>1723</v>
      </c>
      <c r="B233" s="27" t="s">
        <v>737</v>
      </c>
      <c r="C233" s="27" t="s">
        <v>305</v>
      </c>
      <c r="D233" s="27" t="s">
        <v>1492</v>
      </c>
      <c r="E233" s="26">
        <v>3.2</v>
      </c>
      <c r="F233" s="33">
        <v>45555.0</v>
      </c>
      <c r="G233" s="27" t="s">
        <v>181</v>
      </c>
      <c r="H233" s="27" t="s">
        <v>1487</v>
      </c>
    </row>
    <row r="234" ht="15.75" customHeight="1">
      <c r="A234" s="25" t="s">
        <v>1724</v>
      </c>
      <c r="B234" s="25" t="s">
        <v>737</v>
      </c>
      <c r="C234" s="25" t="s">
        <v>370</v>
      </c>
      <c r="D234" s="25" t="s">
        <v>1495</v>
      </c>
      <c r="E234" s="24">
        <v>4.4</v>
      </c>
      <c r="F234" s="30">
        <v>45209.0</v>
      </c>
      <c r="G234" s="25" t="s">
        <v>187</v>
      </c>
      <c r="H234" s="25" t="s">
        <v>1487</v>
      </c>
    </row>
    <row r="235" ht="15.75" customHeight="1">
      <c r="A235" s="27" t="s">
        <v>1725</v>
      </c>
      <c r="B235" s="27" t="s">
        <v>737</v>
      </c>
      <c r="C235" s="27" t="s">
        <v>253</v>
      </c>
      <c r="D235" s="27" t="s">
        <v>1489</v>
      </c>
      <c r="E235" s="26">
        <v>1.8</v>
      </c>
      <c r="F235" s="33">
        <v>45258.0</v>
      </c>
      <c r="G235" s="27" t="s">
        <v>187</v>
      </c>
      <c r="H235" s="27" t="s">
        <v>1493</v>
      </c>
    </row>
    <row r="236" ht="15.75" customHeight="1">
      <c r="A236" s="25" t="s">
        <v>1726</v>
      </c>
      <c r="B236" s="25" t="s">
        <v>737</v>
      </c>
      <c r="C236" s="25" t="s">
        <v>362</v>
      </c>
      <c r="D236" s="25" t="s">
        <v>1495</v>
      </c>
      <c r="E236" s="24">
        <v>2.7</v>
      </c>
      <c r="F236" s="30">
        <v>45620.0</v>
      </c>
      <c r="G236" s="25" t="s">
        <v>187</v>
      </c>
      <c r="H236" s="25" t="s">
        <v>1487</v>
      </c>
    </row>
    <row r="237" ht="15.75" customHeight="1">
      <c r="A237" s="27" t="s">
        <v>1727</v>
      </c>
      <c r="B237" s="27" t="s">
        <v>737</v>
      </c>
      <c r="C237" s="27" t="s">
        <v>336</v>
      </c>
      <c r="D237" s="27" t="s">
        <v>1492</v>
      </c>
      <c r="E237" s="26">
        <v>4.3</v>
      </c>
      <c r="F237" s="33">
        <v>45033.0</v>
      </c>
      <c r="G237" s="27" t="s">
        <v>187</v>
      </c>
      <c r="H237" s="27" t="s">
        <v>1493</v>
      </c>
    </row>
    <row r="238" ht="15.75" customHeight="1">
      <c r="A238" s="25" t="s">
        <v>1728</v>
      </c>
      <c r="B238" s="25" t="s">
        <v>737</v>
      </c>
      <c r="C238" s="25" t="s">
        <v>333</v>
      </c>
      <c r="D238" s="25" t="s">
        <v>1495</v>
      </c>
      <c r="E238" s="24">
        <v>4.0</v>
      </c>
      <c r="F238" s="30">
        <v>45113.0</v>
      </c>
      <c r="G238" s="25" t="s">
        <v>187</v>
      </c>
      <c r="H238" s="25" t="s">
        <v>1493</v>
      </c>
    </row>
    <row r="239" ht="15.75" customHeight="1">
      <c r="A239" s="27" t="s">
        <v>1729</v>
      </c>
      <c r="B239" s="27" t="s">
        <v>744</v>
      </c>
      <c r="C239" s="27" t="s">
        <v>260</v>
      </c>
      <c r="D239" s="27" t="s">
        <v>1492</v>
      </c>
      <c r="E239" s="26">
        <v>3.9</v>
      </c>
      <c r="F239" s="33">
        <v>45044.0</v>
      </c>
      <c r="G239" s="27" t="s">
        <v>181</v>
      </c>
      <c r="H239" s="27" t="s">
        <v>1493</v>
      </c>
    </row>
    <row r="240" ht="15.75" customHeight="1">
      <c r="A240" s="25" t="s">
        <v>1730</v>
      </c>
      <c r="B240" s="25" t="s">
        <v>744</v>
      </c>
      <c r="C240" s="25" t="s">
        <v>329</v>
      </c>
      <c r="D240" s="25" t="s">
        <v>1492</v>
      </c>
      <c r="E240" s="24">
        <v>3.4</v>
      </c>
      <c r="F240" s="30">
        <v>45340.0</v>
      </c>
      <c r="G240" s="25" t="s">
        <v>187</v>
      </c>
      <c r="H240" s="25" t="s">
        <v>1487</v>
      </c>
    </row>
    <row r="241" ht="15.75" customHeight="1">
      <c r="A241" s="27" t="s">
        <v>1731</v>
      </c>
      <c r="B241" s="27" t="s">
        <v>744</v>
      </c>
      <c r="C241" s="27" t="s">
        <v>370</v>
      </c>
      <c r="D241" s="27" t="s">
        <v>1486</v>
      </c>
      <c r="E241" s="26">
        <v>3.9</v>
      </c>
      <c r="F241" s="33">
        <v>45325.0</v>
      </c>
      <c r="G241" s="27" t="s">
        <v>187</v>
      </c>
      <c r="H241" s="27" t="s">
        <v>1493</v>
      </c>
    </row>
    <row r="242" ht="15.75" customHeight="1">
      <c r="A242" s="25" t="s">
        <v>1732</v>
      </c>
      <c r="B242" s="25" t="s">
        <v>744</v>
      </c>
      <c r="C242" s="25" t="s">
        <v>298</v>
      </c>
      <c r="D242" s="25" t="s">
        <v>1486</v>
      </c>
      <c r="E242" s="24">
        <v>3.8</v>
      </c>
      <c r="F242" s="30">
        <v>45401.0</v>
      </c>
      <c r="G242" s="25" t="s">
        <v>187</v>
      </c>
      <c r="H242" s="25" t="s">
        <v>1487</v>
      </c>
    </row>
    <row r="243" ht="15.75" customHeight="1">
      <c r="A243" s="27" t="s">
        <v>1733</v>
      </c>
      <c r="B243" s="27" t="s">
        <v>744</v>
      </c>
      <c r="C243" s="27" t="s">
        <v>362</v>
      </c>
      <c r="D243" s="27" t="s">
        <v>1495</v>
      </c>
      <c r="E243" s="26">
        <v>0.7</v>
      </c>
      <c r="F243" s="33">
        <v>45416.0</v>
      </c>
      <c r="G243" s="27" t="s">
        <v>187</v>
      </c>
      <c r="H243" s="27" t="s">
        <v>1487</v>
      </c>
    </row>
    <row r="244" ht="15.75" customHeight="1">
      <c r="A244" s="25" t="s">
        <v>1734</v>
      </c>
      <c r="B244" s="25" t="s">
        <v>744</v>
      </c>
      <c r="C244" s="25" t="s">
        <v>365</v>
      </c>
      <c r="D244" s="25" t="s">
        <v>1489</v>
      </c>
      <c r="E244" s="24">
        <v>1.5</v>
      </c>
      <c r="F244" s="30">
        <v>45492.0</v>
      </c>
      <c r="G244" s="25" t="s">
        <v>187</v>
      </c>
      <c r="H244" s="25" t="s">
        <v>1496</v>
      </c>
    </row>
    <row r="245" ht="15.75" customHeight="1">
      <c r="A245" s="27" t="s">
        <v>1735</v>
      </c>
      <c r="B245" s="27" t="s">
        <v>744</v>
      </c>
      <c r="C245" s="27" t="s">
        <v>321</v>
      </c>
      <c r="D245" s="27" t="s">
        <v>1495</v>
      </c>
      <c r="E245" s="26">
        <v>3.1</v>
      </c>
      <c r="F245" s="33">
        <v>45337.0</v>
      </c>
      <c r="G245" s="27" t="s">
        <v>187</v>
      </c>
      <c r="H245" s="27" t="s">
        <v>1487</v>
      </c>
    </row>
    <row r="246" ht="15.75" customHeight="1">
      <c r="A246" s="25" t="s">
        <v>1736</v>
      </c>
      <c r="B246" s="25" t="s">
        <v>750</v>
      </c>
      <c r="C246" s="25" t="s">
        <v>344</v>
      </c>
      <c r="D246" s="25" t="s">
        <v>1486</v>
      </c>
      <c r="E246" s="24">
        <v>2.6</v>
      </c>
      <c r="F246" s="30">
        <v>45325.0</v>
      </c>
      <c r="G246" s="25" t="s">
        <v>181</v>
      </c>
      <c r="H246" s="25" t="s">
        <v>1496</v>
      </c>
    </row>
    <row r="247" ht="15.75" customHeight="1">
      <c r="A247" s="27" t="s">
        <v>1737</v>
      </c>
      <c r="B247" s="27" t="s">
        <v>750</v>
      </c>
      <c r="C247" s="27" t="s">
        <v>370</v>
      </c>
      <c r="D247" s="27" t="s">
        <v>1486</v>
      </c>
      <c r="E247" s="26">
        <v>4.8</v>
      </c>
      <c r="F247" s="33">
        <v>45461.0</v>
      </c>
      <c r="G247" s="27" t="s">
        <v>187</v>
      </c>
      <c r="H247" s="27" t="s">
        <v>1493</v>
      </c>
    </row>
    <row r="248" ht="15.75" customHeight="1">
      <c r="A248" s="25" t="s">
        <v>1738</v>
      </c>
      <c r="B248" s="25" t="s">
        <v>750</v>
      </c>
      <c r="C248" s="25" t="s">
        <v>362</v>
      </c>
      <c r="D248" s="25" t="s">
        <v>1495</v>
      </c>
      <c r="E248" s="24">
        <v>1.3</v>
      </c>
      <c r="F248" s="30">
        <v>45075.0</v>
      </c>
      <c r="G248" s="25" t="s">
        <v>187</v>
      </c>
      <c r="H248" s="25" t="s">
        <v>1487</v>
      </c>
    </row>
    <row r="249" ht="15.75" customHeight="1">
      <c r="A249" s="27" t="s">
        <v>1739</v>
      </c>
      <c r="B249" s="27" t="s">
        <v>750</v>
      </c>
      <c r="C249" s="27" t="s">
        <v>309</v>
      </c>
      <c r="D249" s="27" t="s">
        <v>1495</v>
      </c>
      <c r="E249" s="26">
        <v>7.6</v>
      </c>
      <c r="F249" s="33">
        <v>45978.0</v>
      </c>
      <c r="G249" s="27" t="s">
        <v>187</v>
      </c>
      <c r="H249" s="27" t="s">
        <v>1496</v>
      </c>
    </row>
    <row r="250" ht="15.75" customHeight="1">
      <c r="A250" s="25" t="s">
        <v>1740</v>
      </c>
      <c r="B250" s="25" t="s">
        <v>750</v>
      </c>
      <c r="C250" s="25" t="s">
        <v>313</v>
      </c>
      <c r="D250" s="25" t="s">
        <v>1486</v>
      </c>
      <c r="E250" s="24">
        <v>6.6</v>
      </c>
      <c r="F250" s="30">
        <v>45439.0</v>
      </c>
      <c r="G250" s="25" t="s">
        <v>187</v>
      </c>
      <c r="H250" s="25" t="s">
        <v>1487</v>
      </c>
    </row>
    <row r="251" ht="15.75" customHeight="1">
      <c r="A251" s="27" t="s">
        <v>1741</v>
      </c>
      <c r="B251" s="27" t="s">
        <v>750</v>
      </c>
      <c r="C251" s="27" t="s">
        <v>321</v>
      </c>
      <c r="D251" s="27" t="s">
        <v>1495</v>
      </c>
      <c r="E251" s="26">
        <v>3.3</v>
      </c>
      <c r="F251" s="33">
        <v>45917.0</v>
      </c>
      <c r="G251" s="27" t="s">
        <v>187</v>
      </c>
      <c r="H251" s="27" t="s">
        <v>1493</v>
      </c>
    </row>
    <row r="252" ht="15.75" customHeight="1">
      <c r="A252" s="25" t="s">
        <v>1742</v>
      </c>
      <c r="B252" s="25" t="s">
        <v>757</v>
      </c>
      <c r="C252" s="25" t="s">
        <v>305</v>
      </c>
      <c r="D252" s="25" t="s">
        <v>1495</v>
      </c>
      <c r="E252" s="24">
        <v>6.4</v>
      </c>
      <c r="F252" s="30">
        <v>45378.0</v>
      </c>
      <c r="G252" s="25" t="s">
        <v>181</v>
      </c>
      <c r="H252" s="25" t="s">
        <v>1487</v>
      </c>
    </row>
    <row r="253" ht="15.75" customHeight="1">
      <c r="A253" s="27" t="s">
        <v>1743</v>
      </c>
      <c r="B253" s="27" t="s">
        <v>757</v>
      </c>
      <c r="C253" s="27" t="s">
        <v>344</v>
      </c>
      <c r="D253" s="27" t="s">
        <v>1492</v>
      </c>
      <c r="E253" s="26">
        <v>6.5</v>
      </c>
      <c r="F253" s="33">
        <v>45771.0</v>
      </c>
      <c r="G253" s="27" t="s">
        <v>187</v>
      </c>
      <c r="H253" s="27" t="s">
        <v>1496</v>
      </c>
    </row>
    <row r="254" ht="15.75" customHeight="1">
      <c r="A254" s="25" t="s">
        <v>1744</v>
      </c>
      <c r="B254" s="25" t="s">
        <v>757</v>
      </c>
      <c r="C254" s="25" t="s">
        <v>370</v>
      </c>
      <c r="D254" s="25" t="s">
        <v>1492</v>
      </c>
      <c r="E254" s="24">
        <v>0.6</v>
      </c>
      <c r="F254" s="30">
        <v>45466.0</v>
      </c>
      <c r="G254" s="25" t="s">
        <v>187</v>
      </c>
      <c r="H254" s="25" t="s">
        <v>1493</v>
      </c>
    </row>
    <row r="255" ht="15.75" customHeight="1">
      <c r="A255" s="27" t="s">
        <v>1745</v>
      </c>
      <c r="B255" s="27" t="s">
        <v>757</v>
      </c>
      <c r="C255" s="27" t="s">
        <v>365</v>
      </c>
      <c r="D255" s="27" t="s">
        <v>1495</v>
      </c>
      <c r="E255" s="26">
        <v>3.5</v>
      </c>
      <c r="F255" s="33">
        <v>45627.0</v>
      </c>
      <c r="G255" s="27" t="s">
        <v>187</v>
      </c>
      <c r="H255" s="27" t="s">
        <v>1493</v>
      </c>
    </row>
    <row r="256" ht="15.75" customHeight="1">
      <c r="A256" s="25" t="s">
        <v>1746</v>
      </c>
      <c r="B256" s="25" t="s">
        <v>764</v>
      </c>
      <c r="C256" s="25" t="s">
        <v>270</v>
      </c>
      <c r="D256" s="25" t="s">
        <v>1492</v>
      </c>
      <c r="E256" s="24">
        <v>2.3</v>
      </c>
      <c r="F256" s="30">
        <v>45422.0</v>
      </c>
      <c r="G256" s="25" t="s">
        <v>181</v>
      </c>
      <c r="H256" s="25" t="s">
        <v>1496</v>
      </c>
    </row>
    <row r="257" ht="15.75" customHeight="1">
      <c r="A257" s="27" t="s">
        <v>1747</v>
      </c>
      <c r="B257" s="27" t="s">
        <v>764</v>
      </c>
      <c r="C257" s="27" t="s">
        <v>284</v>
      </c>
      <c r="D257" s="27" t="s">
        <v>1495</v>
      </c>
      <c r="E257" s="26">
        <v>2.0</v>
      </c>
      <c r="F257" s="33">
        <v>45438.0</v>
      </c>
      <c r="G257" s="27" t="s">
        <v>187</v>
      </c>
      <c r="H257" s="27" t="s">
        <v>1487</v>
      </c>
    </row>
    <row r="258" ht="15.75" customHeight="1">
      <c r="A258" s="25" t="s">
        <v>1748</v>
      </c>
      <c r="B258" s="25" t="s">
        <v>764</v>
      </c>
      <c r="C258" s="25" t="s">
        <v>356</v>
      </c>
      <c r="D258" s="25" t="s">
        <v>1495</v>
      </c>
      <c r="E258" s="24">
        <v>6.3</v>
      </c>
      <c r="F258" s="30">
        <v>45172.0</v>
      </c>
      <c r="G258" s="25" t="s">
        <v>187</v>
      </c>
      <c r="H258" s="25" t="s">
        <v>1493</v>
      </c>
    </row>
    <row r="259" ht="15.75" customHeight="1">
      <c r="A259" s="27" t="s">
        <v>1749</v>
      </c>
      <c r="B259" s="27" t="s">
        <v>764</v>
      </c>
      <c r="C259" s="27" t="s">
        <v>325</v>
      </c>
      <c r="D259" s="27" t="s">
        <v>1492</v>
      </c>
      <c r="E259" s="26">
        <v>5.5</v>
      </c>
      <c r="F259" s="33">
        <v>44940.0</v>
      </c>
      <c r="G259" s="27" t="s">
        <v>187</v>
      </c>
      <c r="H259" s="27" t="s">
        <v>1487</v>
      </c>
    </row>
    <row r="260" ht="15.75" customHeight="1">
      <c r="A260" s="25" t="s">
        <v>1750</v>
      </c>
      <c r="B260" s="25" t="s">
        <v>764</v>
      </c>
      <c r="C260" s="25" t="s">
        <v>336</v>
      </c>
      <c r="D260" s="25" t="s">
        <v>1486</v>
      </c>
      <c r="E260" s="24">
        <v>6.9</v>
      </c>
      <c r="F260" s="30">
        <v>45687.0</v>
      </c>
      <c r="G260" s="25" t="s">
        <v>187</v>
      </c>
      <c r="H260" s="25" t="s">
        <v>1487</v>
      </c>
    </row>
    <row r="261" ht="15.75" customHeight="1">
      <c r="A261" s="27" t="s">
        <v>1751</v>
      </c>
      <c r="B261" s="27" t="s">
        <v>764</v>
      </c>
      <c r="C261" s="27" t="s">
        <v>266</v>
      </c>
      <c r="D261" s="27" t="s">
        <v>1495</v>
      </c>
      <c r="E261" s="26">
        <v>7.2</v>
      </c>
      <c r="F261" s="33">
        <v>45489.0</v>
      </c>
      <c r="G261" s="27" t="s">
        <v>187</v>
      </c>
      <c r="H261" s="27" t="s">
        <v>1496</v>
      </c>
    </row>
    <row r="262" ht="15.75" customHeight="1">
      <c r="A262" s="25" t="s">
        <v>1752</v>
      </c>
      <c r="B262" s="25" t="s">
        <v>764</v>
      </c>
      <c r="C262" s="25" t="s">
        <v>365</v>
      </c>
      <c r="D262" s="25" t="s">
        <v>1495</v>
      </c>
      <c r="E262" s="24">
        <v>6.2</v>
      </c>
      <c r="F262" s="30">
        <v>45973.0</v>
      </c>
      <c r="G262" s="25" t="s">
        <v>187</v>
      </c>
      <c r="H262" s="25" t="s">
        <v>1496</v>
      </c>
    </row>
    <row r="263" ht="15.75" customHeight="1">
      <c r="A263" s="27" t="s">
        <v>1753</v>
      </c>
      <c r="B263" s="27" t="s">
        <v>771</v>
      </c>
      <c r="C263" s="27" t="s">
        <v>246</v>
      </c>
      <c r="D263" s="27" t="s">
        <v>1495</v>
      </c>
      <c r="E263" s="26">
        <v>5.2</v>
      </c>
      <c r="F263" s="33">
        <v>45284.0</v>
      </c>
      <c r="G263" s="27" t="s">
        <v>181</v>
      </c>
      <c r="H263" s="27" t="s">
        <v>1496</v>
      </c>
    </row>
    <row r="264" ht="15.75" customHeight="1">
      <c r="A264" s="25" t="s">
        <v>1754</v>
      </c>
      <c r="B264" s="25" t="s">
        <v>771</v>
      </c>
      <c r="C264" s="25" t="s">
        <v>374</v>
      </c>
      <c r="D264" s="25" t="s">
        <v>1486</v>
      </c>
      <c r="E264" s="24">
        <v>4.3</v>
      </c>
      <c r="F264" s="30">
        <v>45869.0</v>
      </c>
      <c r="G264" s="25" t="s">
        <v>187</v>
      </c>
      <c r="H264" s="25" t="s">
        <v>1496</v>
      </c>
    </row>
    <row r="265" ht="15.75" customHeight="1">
      <c r="A265" s="27" t="s">
        <v>1755</v>
      </c>
      <c r="B265" s="27" t="s">
        <v>771</v>
      </c>
      <c r="C265" s="27" t="s">
        <v>336</v>
      </c>
      <c r="D265" s="27" t="s">
        <v>1492</v>
      </c>
      <c r="E265" s="26">
        <v>0.6</v>
      </c>
      <c r="F265" s="33">
        <v>45358.0</v>
      </c>
      <c r="G265" s="27" t="s">
        <v>187</v>
      </c>
      <c r="H265" s="27" t="s">
        <v>1496</v>
      </c>
    </row>
    <row r="266" ht="15.75" customHeight="1">
      <c r="A266" s="25" t="s">
        <v>1756</v>
      </c>
      <c r="B266" s="25" t="s">
        <v>771</v>
      </c>
      <c r="C266" s="25" t="s">
        <v>333</v>
      </c>
      <c r="D266" s="25" t="s">
        <v>1492</v>
      </c>
      <c r="E266" s="24">
        <v>2.3</v>
      </c>
      <c r="F266" s="30">
        <v>45458.0</v>
      </c>
      <c r="G266" s="25" t="s">
        <v>187</v>
      </c>
      <c r="H266" s="25" t="s">
        <v>1493</v>
      </c>
    </row>
    <row r="267" ht="15.75" customHeight="1">
      <c r="A267" s="27" t="s">
        <v>1757</v>
      </c>
      <c r="B267" s="27" t="s">
        <v>771</v>
      </c>
      <c r="C267" s="27" t="s">
        <v>365</v>
      </c>
      <c r="D267" s="27" t="s">
        <v>1492</v>
      </c>
      <c r="E267" s="26">
        <v>1.8</v>
      </c>
      <c r="F267" s="33">
        <v>45892.0</v>
      </c>
      <c r="G267" s="27" t="s">
        <v>187</v>
      </c>
      <c r="H267" s="27" t="s">
        <v>1487</v>
      </c>
    </row>
    <row r="268" ht="15.75" customHeight="1">
      <c r="A268" s="25" t="s">
        <v>1758</v>
      </c>
      <c r="B268" s="25" t="s">
        <v>771</v>
      </c>
      <c r="C268" s="25" t="s">
        <v>234</v>
      </c>
      <c r="D268" s="25" t="s">
        <v>1495</v>
      </c>
      <c r="E268" s="24">
        <v>1.5</v>
      </c>
      <c r="F268" s="30">
        <v>45795.0</v>
      </c>
      <c r="G268" s="25" t="s">
        <v>187</v>
      </c>
      <c r="H268" s="25" t="s">
        <v>1493</v>
      </c>
    </row>
    <row r="269" ht="15.75" customHeight="1">
      <c r="A269" s="27" t="s">
        <v>1759</v>
      </c>
      <c r="B269" s="27" t="s">
        <v>771</v>
      </c>
      <c r="C269" s="27" t="s">
        <v>359</v>
      </c>
      <c r="D269" s="27" t="s">
        <v>1495</v>
      </c>
      <c r="E269" s="26">
        <v>4.6</v>
      </c>
      <c r="F269" s="33">
        <v>45674.0</v>
      </c>
      <c r="G269" s="27" t="s">
        <v>187</v>
      </c>
      <c r="H269" s="27" t="s">
        <v>1496</v>
      </c>
    </row>
    <row r="270" ht="15.75" customHeight="1">
      <c r="A270" s="25" t="s">
        <v>1760</v>
      </c>
      <c r="B270" s="25" t="s">
        <v>771</v>
      </c>
      <c r="C270" s="25" t="s">
        <v>317</v>
      </c>
      <c r="D270" s="25" t="s">
        <v>1495</v>
      </c>
      <c r="E270" s="24">
        <v>1.5</v>
      </c>
      <c r="F270" s="30">
        <v>45195.0</v>
      </c>
      <c r="G270" s="25" t="s">
        <v>187</v>
      </c>
      <c r="H270" s="25" t="s">
        <v>1487</v>
      </c>
    </row>
    <row r="271" ht="15.75" customHeight="1">
      <c r="A271" s="27" t="s">
        <v>1761</v>
      </c>
      <c r="B271" s="27" t="s">
        <v>779</v>
      </c>
      <c r="C271" s="27" t="s">
        <v>260</v>
      </c>
      <c r="D271" s="27" t="s">
        <v>1495</v>
      </c>
      <c r="E271" s="26">
        <v>6.7</v>
      </c>
      <c r="F271" s="33">
        <v>45233.0</v>
      </c>
      <c r="G271" s="27" t="s">
        <v>181</v>
      </c>
      <c r="H271" s="27" t="s">
        <v>1496</v>
      </c>
    </row>
    <row r="272" ht="15.75" customHeight="1">
      <c r="A272" s="25" t="s">
        <v>1762</v>
      </c>
      <c r="B272" s="25" t="s">
        <v>779</v>
      </c>
      <c r="C272" s="25" t="s">
        <v>242</v>
      </c>
      <c r="D272" s="25" t="s">
        <v>1486</v>
      </c>
      <c r="E272" s="24">
        <v>1.6</v>
      </c>
      <c r="F272" s="30">
        <v>45950.0</v>
      </c>
      <c r="G272" s="25" t="s">
        <v>187</v>
      </c>
      <c r="H272" s="25" t="s">
        <v>1493</v>
      </c>
    </row>
    <row r="273" ht="15.75" customHeight="1">
      <c r="A273" s="27" t="s">
        <v>1763</v>
      </c>
      <c r="B273" s="27" t="s">
        <v>779</v>
      </c>
      <c r="C273" s="27" t="s">
        <v>344</v>
      </c>
      <c r="D273" s="27" t="s">
        <v>1486</v>
      </c>
      <c r="E273" s="26">
        <v>6.0</v>
      </c>
      <c r="F273" s="33">
        <v>45985.0</v>
      </c>
      <c r="G273" s="27" t="s">
        <v>187</v>
      </c>
      <c r="H273" s="27" t="s">
        <v>1487</v>
      </c>
    </row>
    <row r="274" ht="15.75" customHeight="1">
      <c r="A274" s="25" t="s">
        <v>1764</v>
      </c>
      <c r="B274" s="25" t="s">
        <v>779</v>
      </c>
      <c r="C274" s="25" t="s">
        <v>370</v>
      </c>
      <c r="D274" s="25" t="s">
        <v>1492</v>
      </c>
      <c r="E274" s="24">
        <v>5.6</v>
      </c>
      <c r="F274" s="30">
        <v>45541.0</v>
      </c>
      <c r="G274" s="25" t="s">
        <v>187</v>
      </c>
      <c r="H274" s="25" t="s">
        <v>1496</v>
      </c>
    </row>
    <row r="275" ht="15.75" customHeight="1">
      <c r="A275" s="27" t="s">
        <v>1765</v>
      </c>
      <c r="B275" s="27" t="s">
        <v>779</v>
      </c>
      <c r="C275" s="27" t="s">
        <v>325</v>
      </c>
      <c r="D275" s="27" t="s">
        <v>1492</v>
      </c>
      <c r="E275" s="26">
        <v>4.2</v>
      </c>
      <c r="F275" s="33">
        <v>45742.0</v>
      </c>
      <c r="G275" s="27" t="s">
        <v>187</v>
      </c>
      <c r="H275" s="27" t="s">
        <v>1493</v>
      </c>
    </row>
    <row r="276" ht="15.75" customHeight="1">
      <c r="A276" s="25" t="s">
        <v>1766</v>
      </c>
      <c r="B276" s="25" t="s">
        <v>786</v>
      </c>
      <c r="C276" s="25" t="s">
        <v>260</v>
      </c>
      <c r="D276" s="25" t="s">
        <v>1495</v>
      </c>
      <c r="E276" s="24">
        <v>4.7</v>
      </c>
      <c r="F276" s="30">
        <v>45454.0</v>
      </c>
      <c r="G276" s="25" t="s">
        <v>181</v>
      </c>
      <c r="H276" s="25" t="s">
        <v>1496</v>
      </c>
    </row>
    <row r="277" ht="15.75" customHeight="1">
      <c r="A277" s="27" t="s">
        <v>1767</v>
      </c>
      <c r="B277" s="27" t="s">
        <v>786</v>
      </c>
      <c r="C277" s="27" t="s">
        <v>340</v>
      </c>
      <c r="D277" s="27" t="s">
        <v>1489</v>
      </c>
      <c r="E277" s="26">
        <v>1.4</v>
      </c>
      <c r="F277" s="33">
        <v>45334.0</v>
      </c>
      <c r="G277" s="27" t="s">
        <v>187</v>
      </c>
      <c r="H277" s="27" t="s">
        <v>1487</v>
      </c>
    </row>
    <row r="278" ht="15.75" customHeight="1">
      <c r="A278" s="25" t="s">
        <v>1768</v>
      </c>
      <c r="B278" s="25" t="s">
        <v>786</v>
      </c>
      <c r="C278" s="25" t="s">
        <v>370</v>
      </c>
      <c r="D278" s="25" t="s">
        <v>1492</v>
      </c>
      <c r="E278" s="24">
        <v>5.4</v>
      </c>
      <c r="F278" s="30">
        <v>45284.0</v>
      </c>
      <c r="G278" s="25" t="s">
        <v>187</v>
      </c>
      <c r="H278" s="25" t="s">
        <v>1496</v>
      </c>
    </row>
    <row r="279" ht="15.75" customHeight="1">
      <c r="A279" s="27" t="s">
        <v>1769</v>
      </c>
      <c r="B279" s="27" t="s">
        <v>786</v>
      </c>
      <c r="C279" s="27" t="s">
        <v>253</v>
      </c>
      <c r="D279" s="27" t="s">
        <v>1495</v>
      </c>
      <c r="E279" s="26">
        <v>5.5</v>
      </c>
      <c r="F279" s="33">
        <v>45925.0</v>
      </c>
      <c r="G279" s="27" t="s">
        <v>187</v>
      </c>
      <c r="H279" s="27" t="s">
        <v>1487</v>
      </c>
    </row>
    <row r="280" ht="15.75" customHeight="1">
      <c r="A280" s="25" t="s">
        <v>1770</v>
      </c>
      <c r="B280" s="25" t="s">
        <v>786</v>
      </c>
      <c r="C280" s="25" t="s">
        <v>348</v>
      </c>
      <c r="D280" s="25" t="s">
        <v>1495</v>
      </c>
      <c r="E280" s="24">
        <v>1.1</v>
      </c>
      <c r="F280" s="30">
        <v>45513.0</v>
      </c>
      <c r="G280" s="25" t="s">
        <v>187</v>
      </c>
      <c r="H280" s="25" t="s">
        <v>1496</v>
      </c>
    </row>
    <row r="281" ht="15.75" customHeight="1">
      <c r="A281" s="27" t="s">
        <v>1771</v>
      </c>
      <c r="B281" s="27" t="s">
        <v>786</v>
      </c>
      <c r="C281" s="27" t="s">
        <v>333</v>
      </c>
      <c r="D281" s="27" t="s">
        <v>1492</v>
      </c>
      <c r="E281" s="26">
        <v>1.6</v>
      </c>
      <c r="F281" s="33">
        <v>45270.0</v>
      </c>
      <c r="G281" s="27" t="s">
        <v>187</v>
      </c>
      <c r="H281" s="27" t="s">
        <v>1487</v>
      </c>
    </row>
    <row r="282" ht="15.75" customHeight="1">
      <c r="A282" s="25" t="s">
        <v>1772</v>
      </c>
      <c r="B282" s="25" t="s">
        <v>794</v>
      </c>
      <c r="C282" s="25" t="s">
        <v>370</v>
      </c>
      <c r="D282" s="25" t="s">
        <v>1495</v>
      </c>
      <c r="E282" s="24">
        <v>5.4</v>
      </c>
      <c r="F282" s="30">
        <v>45474.0</v>
      </c>
      <c r="G282" s="25" t="s">
        <v>181</v>
      </c>
      <c r="H282" s="25" t="s">
        <v>1487</v>
      </c>
    </row>
    <row r="283" ht="15.75" customHeight="1">
      <c r="A283" s="27" t="s">
        <v>1773</v>
      </c>
      <c r="B283" s="27" t="s">
        <v>794</v>
      </c>
      <c r="C283" s="27" t="s">
        <v>301</v>
      </c>
      <c r="D283" s="27" t="s">
        <v>1492</v>
      </c>
      <c r="E283" s="26">
        <v>2.5</v>
      </c>
      <c r="F283" s="33">
        <v>45838.0</v>
      </c>
      <c r="G283" s="27" t="s">
        <v>187</v>
      </c>
      <c r="H283" s="27" t="s">
        <v>1496</v>
      </c>
    </row>
    <row r="284" ht="15.75" customHeight="1">
      <c r="A284" s="25" t="s">
        <v>1774</v>
      </c>
      <c r="B284" s="25" t="s">
        <v>794</v>
      </c>
      <c r="C284" s="25" t="s">
        <v>298</v>
      </c>
      <c r="D284" s="25" t="s">
        <v>1492</v>
      </c>
      <c r="E284" s="24">
        <v>4.4</v>
      </c>
      <c r="F284" s="30">
        <v>45849.0</v>
      </c>
      <c r="G284" s="25" t="s">
        <v>187</v>
      </c>
      <c r="H284" s="25" t="s">
        <v>1496</v>
      </c>
    </row>
    <row r="285" ht="15.75" customHeight="1">
      <c r="A285" s="27" t="s">
        <v>1775</v>
      </c>
      <c r="B285" s="27" t="s">
        <v>794</v>
      </c>
      <c r="C285" s="27" t="s">
        <v>348</v>
      </c>
      <c r="D285" s="27" t="s">
        <v>1495</v>
      </c>
      <c r="E285" s="26">
        <v>6.9</v>
      </c>
      <c r="F285" s="33">
        <v>45183.0</v>
      </c>
      <c r="G285" s="27" t="s">
        <v>187</v>
      </c>
      <c r="H285" s="27" t="s">
        <v>1487</v>
      </c>
    </row>
    <row r="286" ht="15.75" customHeight="1">
      <c r="A286" s="25" t="s">
        <v>1776</v>
      </c>
      <c r="B286" s="25" t="s">
        <v>794</v>
      </c>
      <c r="C286" s="25" t="s">
        <v>333</v>
      </c>
      <c r="D286" s="25" t="s">
        <v>1495</v>
      </c>
      <c r="E286" s="24">
        <v>2.4</v>
      </c>
      <c r="F286" s="30">
        <v>45090.0</v>
      </c>
      <c r="G286" s="25" t="s">
        <v>187</v>
      </c>
      <c r="H286" s="25" t="s">
        <v>1493</v>
      </c>
    </row>
    <row r="287" ht="15.75" customHeight="1">
      <c r="A287" s="27" t="s">
        <v>1777</v>
      </c>
      <c r="B287" s="27" t="s">
        <v>801</v>
      </c>
      <c r="C287" s="27" t="s">
        <v>242</v>
      </c>
      <c r="D287" s="27" t="s">
        <v>1492</v>
      </c>
      <c r="E287" s="26">
        <v>1.0</v>
      </c>
      <c r="F287" s="33">
        <v>45464.0</v>
      </c>
      <c r="G287" s="27" t="s">
        <v>181</v>
      </c>
      <c r="H287" s="27" t="s">
        <v>1487</v>
      </c>
    </row>
    <row r="288" ht="15.75" customHeight="1">
      <c r="A288" s="25" t="s">
        <v>1778</v>
      </c>
      <c r="B288" s="25" t="s">
        <v>801</v>
      </c>
      <c r="C288" s="25" t="s">
        <v>370</v>
      </c>
      <c r="D288" s="25" t="s">
        <v>1489</v>
      </c>
      <c r="E288" s="24">
        <v>4.8</v>
      </c>
      <c r="F288" s="30">
        <v>45725.0</v>
      </c>
      <c r="G288" s="25" t="s">
        <v>187</v>
      </c>
      <c r="H288" s="25" t="s">
        <v>1496</v>
      </c>
    </row>
    <row r="289" ht="15.75" customHeight="1">
      <c r="A289" s="27" t="s">
        <v>1779</v>
      </c>
      <c r="B289" s="27" t="s">
        <v>801</v>
      </c>
      <c r="C289" s="27" t="s">
        <v>336</v>
      </c>
      <c r="D289" s="27" t="s">
        <v>1495</v>
      </c>
      <c r="E289" s="26">
        <v>5.3</v>
      </c>
      <c r="F289" s="33">
        <v>45834.0</v>
      </c>
      <c r="G289" s="27" t="s">
        <v>187</v>
      </c>
      <c r="H289" s="27" t="s">
        <v>1487</v>
      </c>
    </row>
    <row r="290" ht="15.75" customHeight="1">
      <c r="A290" s="25" t="s">
        <v>1780</v>
      </c>
      <c r="B290" s="25" t="s">
        <v>801</v>
      </c>
      <c r="C290" s="25" t="s">
        <v>348</v>
      </c>
      <c r="D290" s="25" t="s">
        <v>1489</v>
      </c>
      <c r="E290" s="24">
        <v>3.9</v>
      </c>
      <c r="F290" s="30">
        <v>45276.0</v>
      </c>
      <c r="G290" s="25" t="s">
        <v>187</v>
      </c>
      <c r="H290" s="25" t="s">
        <v>1493</v>
      </c>
    </row>
    <row r="291" ht="15.75" customHeight="1">
      <c r="A291" s="27" t="s">
        <v>1781</v>
      </c>
      <c r="B291" s="27" t="s">
        <v>801</v>
      </c>
      <c r="C291" s="27" t="s">
        <v>333</v>
      </c>
      <c r="D291" s="27" t="s">
        <v>1489</v>
      </c>
      <c r="E291" s="26">
        <v>2.8</v>
      </c>
      <c r="F291" s="33">
        <v>45593.0</v>
      </c>
      <c r="G291" s="27" t="s">
        <v>187</v>
      </c>
      <c r="H291" s="27" t="s">
        <v>1496</v>
      </c>
    </row>
    <row r="292" ht="15.75" customHeight="1">
      <c r="A292" s="25" t="s">
        <v>1782</v>
      </c>
      <c r="B292" s="25" t="s">
        <v>801</v>
      </c>
      <c r="C292" s="25" t="s">
        <v>365</v>
      </c>
      <c r="D292" s="25" t="s">
        <v>1495</v>
      </c>
      <c r="E292" s="24">
        <v>6.2</v>
      </c>
      <c r="F292" s="30">
        <v>45484.0</v>
      </c>
      <c r="G292" s="25" t="s">
        <v>187</v>
      </c>
      <c r="H292" s="25" t="s">
        <v>1487</v>
      </c>
    </row>
    <row r="293" ht="15.75" customHeight="1">
      <c r="A293" s="27" t="s">
        <v>1783</v>
      </c>
      <c r="B293" s="27" t="s">
        <v>801</v>
      </c>
      <c r="C293" s="27" t="s">
        <v>238</v>
      </c>
      <c r="D293" s="27" t="s">
        <v>1495</v>
      </c>
      <c r="E293" s="26">
        <v>6.8</v>
      </c>
      <c r="F293" s="33">
        <v>45289.0</v>
      </c>
      <c r="G293" s="27" t="s">
        <v>187</v>
      </c>
      <c r="H293" s="27" t="s">
        <v>1487</v>
      </c>
    </row>
    <row r="294" ht="15.75" customHeight="1">
      <c r="A294" s="25" t="s">
        <v>1784</v>
      </c>
      <c r="B294" s="25" t="s">
        <v>801</v>
      </c>
      <c r="C294" s="25" t="s">
        <v>273</v>
      </c>
      <c r="D294" s="25" t="s">
        <v>1492</v>
      </c>
      <c r="E294" s="24">
        <v>4.6</v>
      </c>
      <c r="F294" s="30">
        <v>45817.0</v>
      </c>
      <c r="G294" s="25" t="s">
        <v>187</v>
      </c>
      <c r="H294" s="25" t="s">
        <v>1487</v>
      </c>
    </row>
    <row r="295" ht="15.75" customHeight="1">
      <c r="A295" s="27" t="s">
        <v>1785</v>
      </c>
      <c r="B295" s="27" t="s">
        <v>808</v>
      </c>
      <c r="C295" s="27" t="s">
        <v>270</v>
      </c>
      <c r="D295" s="27" t="s">
        <v>1495</v>
      </c>
      <c r="E295" s="26">
        <v>2.2</v>
      </c>
      <c r="F295" s="33">
        <v>44927.0</v>
      </c>
      <c r="G295" s="27" t="s">
        <v>181</v>
      </c>
      <c r="H295" s="27" t="s">
        <v>1487</v>
      </c>
    </row>
    <row r="296" ht="15.75" customHeight="1">
      <c r="A296" s="25" t="s">
        <v>1786</v>
      </c>
      <c r="B296" s="25" t="s">
        <v>808</v>
      </c>
      <c r="C296" s="25" t="s">
        <v>344</v>
      </c>
      <c r="D296" s="25" t="s">
        <v>1492</v>
      </c>
      <c r="E296" s="24">
        <v>5.2</v>
      </c>
      <c r="F296" s="30">
        <v>45631.0</v>
      </c>
      <c r="G296" s="25" t="s">
        <v>187</v>
      </c>
      <c r="H296" s="25" t="s">
        <v>1496</v>
      </c>
    </row>
    <row r="297" ht="15.75" customHeight="1">
      <c r="A297" s="27" t="s">
        <v>1787</v>
      </c>
      <c r="B297" s="27" t="s">
        <v>808</v>
      </c>
      <c r="C297" s="27" t="s">
        <v>284</v>
      </c>
      <c r="D297" s="27" t="s">
        <v>1495</v>
      </c>
      <c r="E297" s="26">
        <v>0.5</v>
      </c>
      <c r="F297" s="33">
        <v>45934.0</v>
      </c>
      <c r="G297" s="27" t="s">
        <v>187</v>
      </c>
      <c r="H297" s="27" t="s">
        <v>1496</v>
      </c>
    </row>
    <row r="298" ht="15.75" customHeight="1">
      <c r="A298" s="25" t="s">
        <v>1788</v>
      </c>
      <c r="B298" s="25" t="s">
        <v>808</v>
      </c>
      <c r="C298" s="25" t="s">
        <v>370</v>
      </c>
      <c r="D298" s="25" t="s">
        <v>1495</v>
      </c>
      <c r="E298" s="24">
        <v>4.7</v>
      </c>
      <c r="F298" s="30">
        <v>45526.0</v>
      </c>
      <c r="G298" s="25" t="s">
        <v>187</v>
      </c>
      <c r="H298" s="25" t="s">
        <v>1487</v>
      </c>
    </row>
    <row r="299" ht="15.75" customHeight="1">
      <c r="A299" s="27" t="s">
        <v>1789</v>
      </c>
      <c r="B299" s="27" t="s">
        <v>808</v>
      </c>
      <c r="C299" s="27" t="s">
        <v>321</v>
      </c>
      <c r="D299" s="27" t="s">
        <v>1495</v>
      </c>
      <c r="E299" s="26">
        <v>0.5</v>
      </c>
      <c r="F299" s="33">
        <v>45692.0</v>
      </c>
      <c r="G299" s="27" t="s">
        <v>187</v>
      </c>
      <c r="H299" s="27" t="s">
        <v>1493</v>
      </c>
    </row>
    <row r="300" ht="15.75" customHeight="1">
      <c r="A300" s="25" t="s">
        <v>1790</v>
      </c>
      <c r="B300" s="25" t="s">
        <v>808</v>
      </c>
      <c r="C300" s="25" t="s">
        <v>359</v>
      </c>
      <c r="D300" s="25" t="s">
        <v>1495</v>
      </c>
      <c r="E300" s="24">
        <v>3.6</v>
      </c>
      <c r="F300" s="30">
        <v>45735.0</v>
      </c>
      <c r="G300" s="25" t="s">
        <v>187</v>
      </c>
      <c r="H300" s="25" t="s">
        <v>1493</v>
      </c>
    </row>
    <row r="301" ht="15.75" customHeight="1">
      <c r="A301" s="27" t="s">
        <v>1791</v>
      </c>
      <c r="B301" s="27" t="s">
        <v>808</v>
      </c>
      <c r="C301" s="27" t="s">
        <v>374</v>
      </c>
      <c r="D301" s="27" t="s">
        <v>1489</v>
      </c>
      <c r="E301" s="26">
        <v>4.6</v>
      </c>
      <c r="F301" s="33">
        <v>45725.0</v>
      </c>
      <c r="G301" s="27" t="s">
        <v>187</v>
      </c>
      <c r="H301" s="27" t="s">
        <v>1496</v>
      </c>
    </row>
    <row r="302" ht="15.75" customHeight="1">
      <c r="A302" s="25" t="s">
        <v>1792</v>
      </c>
      <c r="B302" s="25" t="s">
        <v>815</v>
      </c>
      <c r="C302" s="25" t="s">
        <v>260</v>
      </c>
      <c r="D302" s="25" t="s">
        <v>1492</v>
      </c>
      <c r="E302" s="24">
        <v>3.4</v>
      </c>
      <c r="F302" s="30">
        <v>45477.0</v>
      </c>
      <c r="G302" s="25" t="s">
        <v>181</v>
      </c>
      <c r="H302" s="25" t="s">
        <v>1496</v>
      </c>
    </row>
    <row r="303" ht="15.75" customHeight="1">
      <c r="A303" s="27" t="s">
        <v>1793</v>
      </c>
      <c r="B303" s="27" t="s">
        <v>815</v>
      </c>
      <c r="C303" s="27" t="s">
        <v>340</v>
      </c>
      <c r="D303" s="27" t="s">
        <v>1495</v>
      </c>
      <c r="E303" s="26">
        <v>0.9</v>
      </c>
      <c r="F303" s="33">
        <v>45206.0</v>
      </c>
      <c r="G303" s="27" t="s">
        <v>187</v>
      </c>
      <c r="H303" s="27" t="s">
        <v>1496</v>
      </c>
    </row>
    <row r="304" ht="15.75" customHeight="1">
      <c r="A304" s="25" t="s">
        <v>1794</v>
      </c>
      <c r="B304" s="25" t="s">
        <v>815</v>
      </c>
      <c r="C304" s="25" t="s">
        <v>370</v>
      </c>
      <c r="D304" s="25" t="s">
        <v>1489</v>
      </c>
      <c r="E304" s="24">
        <v>3.0</v>
      </c>
      <c r="F304" s="30">
        <v>45854.0</v>
      </c>
      <c r="G304" s="25" t="s">
        <v>187</v>
      </c>
      <c r="H304" s="25" t="s">
        <v>1496</v>
      </c>
    </row>
    <row r="305" ht="15.75" customHeight="1">
      <c r="A305" s="27" t="s">
        <v>1795</v>
      </c>
      <c r="B305" s="27" t="s">
        <v>815</v>
      </c>
      <c r="C305" s="27" t="s">
        <v>325</v>
      </c>
      <c r="D305" s="27" t="s">
        <v>1492</v>
      </c>
      <c r="E305" s="26">
        <v>3.2</v>
      </c>
      <c r="F305" s="33">
        <v>45583.0</v>
      </c>
      <c r="G305" s="27" t="s">
        <v>187</v>
      </c>
      <c r="H305" s="27" t="s">
        <v>1493</v>
      </c>
    </row>
    <row r="306" ht="15.75" customHeight="1">
      <c r="A306" s="25" t="s">
        <v>1796</v>
      </c>
      <c r="B306" s="25" t="s">
        <v>815</v>
      </c>
      <c r="C306" s="25" t="s">
        <v>362</v>
      </c>
      <c r="D306" s="25" t="s">
        <v>1489</v>
      </c>
      <c r="E306" s="24">
        <v>5.8</v>
      </c>
      <c r="F306" s="30">
        <v>44972.0</v>
      </c>
      <c r="G306" s="25" t="s">
        <v>187</v>
      </c>
      <c r="H306" s="25" t="s">
        <v>1493</v>
      </c>
    </row>
    <row r="307" ht="15.75" customHeight="1">
      <c r="A307" s="27" t="s">
        <v>1797</v>
      </c>
      <c r="B307" s="27" t="s">
        <v>815</v>
      </c>
      <c r="C307" s="27" t="s">
        <v>238</v>
      </c>
      <c r="D307" s="27" t="s">
        <v>1486</v>
      </c>
      <c r="E307" s="26">
        <v>2.1</v>
      </c>
      <c r="F307" s="33">
        <v>45183.0</v>
      </c>
      <c r="G307" s="27" t="s">
        <v>187</v>
      </c>
      <c r="H307" s="27" t="s">
        <v>1487</v>
      </c>
    </row>
    <row r="308" ht="15.75" customHeight="1">
      <c r="A308" s="25" t="s">
        <v>1798</v>
      </c>
      <c r="B308" s="25" t="s">
        <v>822</v>
      </c>
      <c r="C308" s="25" t="s">
        <v>229</v>
      </c>
      <c r="D308" s="25" t="s">
        <v>1492</v>
      </c>
      <c r="E308" s="24">
        <v>3.2</v>
      </c>
      <c r="F308" s="30">
        <v>45687.0</v>
      </c>
      <c r="G308" s="25" t="s">
        <v>181</v>
      </c>
      <c r="H308" s="25" t="s">
        <v>1496</v>
      </c>
    </row>
    <row r="309" ht="15.75" customHeight="1">
      <c r="A309" s="27" t="s">
        <v>1799</v>
      </c>
      <c r="B309" s="27" t="s">
        <v>822</v>
      </c>
      <c r="C309" s="27" t="s">
        <v>246</v>
      </c>
      <c r="D309" s="27" t="s">
        <v>1492</v>
      </c>
      <c r="E309" s="26">
        <v>0.7</v>
      </c>
      <c r="F309" s="33">
        <v>45091.0</v>
      </c>
      <c r="G309" s="27" t="s">
        <v>187</v>
      </c>
      <c r="H309" s="27" t="s">
        <v>1493</v>
      </c>
    </row>
    <row r="310" ht="15.75" customHeight="1">
      <c r="A310" s="25" t="s">
        <v>1800</v>
      </c>
      <c r="B310" s="25" t="s">
        <v>822</v>
      </c>
      <c r="C310" s="25" t="s">
        <v>370</v>
      </c>
      <c r="D310" s="25" t="s">
        <v>1489</v>
      </c>
      <c r="E310" s="24">
        <v>4.8</v>
      </c>
      <c r="F310" s="30">
        <v>45073.0</v>
      </c>
      <c r="G310" s="25" t="s">
        <v>187</v>
      </c>
      <c r="H310" s="25" t="s">
        <v>1487</v>
      </c>
    </row>
    <row r="311" ht="15.75" customHeight="1">
      <c r="A311" s="27" t="s">
        <v>1801</v>
      </c>
      <c r="B311" s="27" t="s">
        <v>822</v>
      </c>
      <c r="C311" s="27" t="s">
        <v>333</v>
      </c>
      <c r="D311" s="27" t="s">
        <v>1495</v>
      </c>
      <c r="E311" s="26">
        <v>1.6</v>
      </c>
      <c r="F311" s="33">
        <v>45439.0</v>
      </c>
      <c r="G311" s="27" t="s">
        <v>187</v>
      </c>
      <c r="H311" s="27" t="s">
        <v>1496</v>
      </c>
    </row>
    <row r="312" ht="15.75" customHeight="1">
      <c r="A312" s="25" t="s">
        <v>1802</v>
      </c>
      <c r="B312" s="25" t="s">
        <v>822</v>
      </c>
      <c r="C312" s="25" t="s">
        <v>313</v>
      </c>
      <c r="D312" s="25" t="s">
        <v>1486</v>
      </c>
      <c r="E312" s="24">
        <v>1.2</v>
      </c>
      <c r="F312" s="30">
        <v>45436.0</v>
      </c>
      <c r="G312" s="25" t="s">
        <v>187</v>
      </c>
      <c r="H312" s="25" t="s">
        <v>1496</v>
      </c>
    </row>
    <row r="313" ht="15.75" customHeight="1">
      <c r="A313" s="27" t="s">
        <v>1803</v>
      </c>
      <c r="B313" s="27" t="s">
        <v>822</v>
      </c>
      <c r="C313" s="27" t="s">
        <v>321</v>
      </c>
      <c r="D313" s="27" t="s">
        <v>1492</v>
      </c>
      <c r="E313" s="26">
        <v>2.9</v>
      </c>
      <c r="F313" s="33">
        <v>44995.0</v>
      </c>
      <c r="G313" s="27" t="s">
        <v>187</v>
      </c>
      <c r="H313" s="27" t="s">
        <v>1493</v>
      </c>
    </row>
    <row r="314" ht="15.75" customHeight="1">
      <c r="A314" s="25" t="s">
        <v>1804</v>
      </c>
      <c r="B314" s="25" t="s">
        <v>830</v>
      </c>
      <c r="C314" s="25" t="s">
        <v>242</v>
      </c>
      <c r="D314" s="25" t="s">
        <v>1489</v>
      </c>
      <c r="E314" s="24">
        <v>3.0</v>
      </c>
      <c r="F314" s="30">
        <v>45993.0</v>
      </c>
      <c r="G314" s="25" t="s">
        <v>181</v>
      </c>
      <c r="H314" s="25" t="s">
        <v>1493</v>
      </c>
    </row>
    <row r="315" ht="15.75" customHeight="1">
      <c r="A315" s="27" t="s">
        <v>1805</v>
      </c>
      <c r="B315" s="27" t="s">
        <v>830</v>
      </c>
      <c r="C315" s="27" t="s">
        <v>305</v>
      </c>
      <c r="D315" s="27" t="s">
        <v>1495</v>
      </c>
      <c r="E315" s="26">
        <v>2.7</v>
      </c>
      <c r="F315" s="33">
        <v>45333.0</v>
      </c>
      <c r="G315" s="27" t="s">
        <v>187</v>
      </c>
      <c r="H315" s="27" t="s">
        <v>1496</v>
      </c>
    </row>
    <row r="316" ht="15.75" customHeight="1">
      <c r="A316" s="25" t="s">
        <v>1806</v>
      </c>
      <c r="B316" s="25" t="s">
        <v>830</v>
      </c>
      <c r="C316" s="25" t="s">
        <v>288</v>
      </c>
      <c r="D316" s="25" t="s">
        <v>1486</v>
      </c>
      <c r="E316" s="24">
        <v>3.5</v>
      </c>
      <c r="F316" s="30">
        <v>45373.0</v>
      </c>
      <c r="G316" s="25" t="s">
        <v>187</v>
      </c>
      <c r="H316" s="25" t="s">
        <v>1493</v>
      </c>
    </row>
    <row r="317" ht="15.75" customHeight="1">
      <c r="A317" s="27" t="s">
        <v>1807</v>
      </c>
      <c r="B317" s="27" t="s">
        <v>830</v>
      </c>
      <c r="C317" s="27" t="s">
        <v>370</v>
      </c>
      <c r="D317" s="27" t="s">
        <v>1495</v>
      </c>
      <c r="E317" s="26">
        <v>2.0</v>
      </c>
      <c r="F317" s="33">
        <v>44957.0</v>
      </c>
      <c r="G317" s="27" t="s">
        <v>187</v>
      </c>
      <c r="H317" s="27" t="s">
        <v>1493</v>
      </c>
    </row>
    <row r="318" ht="15.75" customHeight="1">
      <c r="A318" s="25" t="s">
        <v>1808</v>
      </c>
      <c r="B318" s="25" t="s">
        <v>830</v>
      </c>
      <c r="C318" s="25" t="s">
        <v>325</v>
      </c>
      <c r="D318" s="25" t="s">
        <v>1492</v>
      </c>
      <c r="E318" s="24">
        <v>2.5</v>
      </c>
      <c r="F318" s="30">
        <v>45737.0</v>
      </c>
      <c r="G318" s="25" t="s">
        <v>187</v>
      </c>
      <c r="H318" s="25" t="s">
        <v>1493</v>
      </c>
    </row>
    <row r="319" ht="15.75" customHeight="1">
      <c r="A319" s="27" t="s">
        <v>1809</v>
      </c>
      <c r="B319" s="27" t="s">
        <v>830</v>
      </c>
      <c r="C319" s="27" t="s">
        <v>374</v>
      </c>
      <c r="D319" s="27" t="s">
        <v>1489</v>
      </c>
      <c r="E319" s="26">
        <v>0.6</v>
      </c>
      <c r="F319" s="33">
        <v>45900.0</v>
      </c>
      <c r="G319" s="27" t="s">
        <v>187</v>
      </c>
      <c r="H319" s="27" t="s">
        <v>1487</v>
      </c>
    </row>
    <row r="320" ht="15.75" customHeight="1">
      <c r="A320" s="25" t="s">
        <v>1810</v>
      </c>
      <c r="B320" s="25" t="s">
        <v>837</v>
      </c>
      <c r="C320" s="25" t="s">
        <v>270</v>
      </c>
      <c r="D320" s="25" t="s">
        <v>1489</v>
      </c>
      <c r="E320" s="24">
        <v>2.8</v>
      </c>
      <c r="F320" s="30">
        <v>45242.0</v>
      </c>
      <c r="G320" s="25" t="s">
        <v>181</v>
      </c>
      <c r="H320" s="25" t="s">
        <v>1487</v>
      </c>
    </row>
    <row r="321" ht="15.75" customHeight="1">
      <c r="A321" s="27" t="s">
        <v>1811</v>
      </c>
      <c r="B321" s="27" t="s">
        <v>837</v>
      </c>
      <c r="C321" s="27" t="s">
        <v>344</v>
      </c>
      <c r="D321" s="27" t="s">
        <v>1492</v>
      </c>
      <c r="E321" s="26">
        <v>1.2</v>
      </c>
      <c r="F321" s="33">
        <v>45926.0</v>
      </c>
      <c r="G321" s="27" t="s">
        <v>187</v>
      </c>
      <c r="H321" s="27" t="s">
        <v>1493</v>
      </c>
    </row>
    <row r="322" ht="15.75" customHeight="1">
      <c r="A322" s="25" t="s">
        <v>1812</v>
      </c>
      <c r="B322" s="25" t="s">
        <v>837</v>
      </c>
      <c r="C322" s="25" t="s">
        <v>370</v>
      </c>
      <c r="D322" s="25" t="s">
        <v>1495</v>
      </c>
      <c r="E322" s="24">
        <v>4.1</v>
      </c>
      <c r="F322" s="30">
        <v>45638.0</v>
      </c>
      <c r="G322" s="25" t="s">
        <v>187</v>
      </c>
      <c r="H322" s="25" t="s">
        <v>1496</v>
      </c>
    </row>
    <row r="323" ht="15.75" customHeight="1">
      <c r="A323" s="27" t="s">
        <v>1813</v>
      </c>
      <c r="B323" s="27" t="s">
        <v>837</v>
      </c>
      <c r="C323" s="27" t="s">
        <v>325</v>
      </c>
      <c r="D323" s="27" t="s">
        <v>1492</v>
      </c>
      <c r="E323" s="26">
        <v>0.6</v>
      </c>
      <c r="F323" s="33">
        <v>45700.0</v>
      </c>
      <c r="G323" s="27" t="s">
        <v>187</v>
      </c>
      <c r="H323" s="27" t="s">
        <v>1496</v>
      </c>
    </row>
    <row r="324" ht="15.75" customHeight="1">
      <c r="A324" s="25" t="s">
        <v>1814</v>
      </c>
      <c r="B324" s="25" t="s">
        <v>837</v>
      </c>
      <c r="C324" s="25" t="s">
        <v>365</v>
      </c>
      <c r="D324" s="25" t="s">
        <v>1492</v>
      </c>
      <c r="E324" s="24">
        <v>2.1</v>
      </c>
      <c r="F324" s="30">
        <v>45007.0</v>
      </c>
      <c r="G324" s="25" t="s">
        <v>187</v>
      </c>
      <c r="H324" s="25" t="s">
        <v>1496</v>
      </c>
    </row>
    <row r="325" ht="15.75" customHeight="1">
      <c r="A325" s="27" t="s">
        <v>1815</v>
      </c>
      <c r="B325" s="27" t="s">
        <v>837</v>
      </c>
      <c r="C325" s="27" t="s">
        <v>359</v>
      </c>
      <c r="D325" s="27" t="s">
        <v>1492</v>
      </c>
      <c r="E325" s="26">
        <v>4.1</v>
      </c>
      <c r="F325" s="33">
        <v>45930.0</v>
      </c>
      <c r="G325" s="27" t="s">
        <v>187</v>
      </c>
      <c r="H325" s="27" t="s">
        <v>1493</v>
      </c>
    </row>
    <row r="326" ht="15.75" customHeight="1">
      <c r="A326" s="25" t="s">
        <v>1816</v>
      </c>
      <c r="B326" s="25" t="s">
        <v>837</v>
      </c>
      <c r="C326" s="25" t="s">
        <v>238</v>
      </c>
      <c r="D326" s="25" t="s">
        <v>1492</v>
      </c>
      <c r="E326" s="24">
        <v>4.0</v>
      </c>
      <c r="F326" s="30">
        <v>45589.0</v>
      </c>
      <c r="G326" s="25" t="s">
        <v>187</v>
      </c>
      <c r="H326" s="25" t="s">
        <v>1487</v>
      </c>
    </row>
    <row r="327" ht="15.75" customHeight="1">
      <c r="A327" s="27" t="s">
        <v>1817</v>
      </c>
      <c r="B327" s="27" t="s">
        <v>837</v>
      </c>
      <c r="C327" s="27" t="s">
        <v>317</v>
      </c>
      <c r="D327" s="27" t="s">
        <v>1495</v>
      </c>
      <c r="E327" s="26">
        <v>6.1</v>
      </c>
      <c r="F327" s="33">
        <v>45255.0</v>
      </c>
      <c r="G327" s="27" t="s">
        <v>187</v>
      </c>
      <c r="H327" s="27" t="s">
        <v>1493</v>
      </c>
    </row>
    <row r="328" ht="15.75" customHeight="1">
      <c r="A328" s="25" t="s">
        <v>1818</v>
      </c>
      <c r="B328" s="25" t="s">
        <v>843</v>
      </c>
      <c r="C328" s="25" t="s">
        <v>260</v>
      </c>
      <c r="D328" s="25" t="s">
        <v>1495</v>
      </c>
      <c r="E328" s="24">
        <v>0.6</v>
      </c>
      <c r="F328" s="30">
        <v>45672.0</v>
      </c>
      <c r="G328" s="25" t="s">
        <v>181</v>
      </c>
      <c r="H328" s="25" t="s">
        <v>1487</v>
      </c>
    </row>
    <row r="329" ht="15.75" customHeight="1">
      <c r="A329" s="27" t="s">
        <v>1819</v>
      </c>
      <c r="B329" s="27" t="s">
        <v>843</v>
      </c>
      <c r="C329" s="27" t="s">
        <v>329</v>
      </c>
      <c r="D329" s="27" t="s">
        <v>1495</v>
      </c>
      <c r="E329" s="26">
        <v>4.5</v>
      </c>
      <c r="F329" s="33">
        <v>45720.0</v>
      </c>
      <c r="G329" s="27" t="s">
        <v>187</v>
      </c>
      <c r="H329" s="27" t="s">
        <v>1493</v>
      </c>
    </row>
    <row r="330" ht="15.75" customHeight="1">
      <c r="A330" s="25" t="s">
        <v>1820</v>
      </c>
      <c r="B330" s="25" t="s">
        <v>843</v>
      </c>
      <c r="C330" s="25" t="s">
        <v>370</v>
      </c>
      <c r="D330" s="25" t="s">
        <v>1492</v>
      </c>
      <c r="E330" s="24">
        <v>3.2</v>
      </c>
      <c r="F330" s="30">
        <v>45242.0</v>
      </c>
      <c r="G330" s="25" t="s">
        <v>187</v>
      </c>
      <c r="H330" s="25" t="s">
        <v>1487</v>
      </c>
    </row>
    <row r="331" ht="15.75" customHeight="1">
      <c r="A331" s="27" t="s">
        <v>1821</v>
      </c>
      <c r="B331" s="27" t="s">
        <v>843</v>
      </c>
      <c r="C331" s="27" t="s">
        <v>336</v>
      </c>
      <c r="D331" s="27" t="s">
        <v>1495</v>
      </c>
      <c r="E331" s="26">
        <v>2.8</v>
      </c>
      <c r="F331" s="33">
        <v>45586.0</v>
      </c>
      <c r="G331" s="27" t="s">
        <v>187</v>
      </c>
      <c r="H331" s="27" t="s">
        <v>1493</v>
      </c>
    </row>
    <row r="332" ht="15.75" customHeight="1">
      <c r="A332" s="25" t="s">
        <v>1822</v>
      </c>
      <c r="B332" s="25" t="s">
        <v>843</v>
      </c>
      <c r="C332" s="25" t="s">
        <v>365</v>
      </c>
      <c r="D332" s="25" t="s">
        <v>1489</v>
      </c>
      <c r="E332" s="24">
        <v>4.1</v>
      </c>
      <c r="F332" s="30">
        <v>45016.0</v>
      </c>
      <c r="G332" s="25" t="s">
        <v>187</v>
      </c>
      <c r="H332" s="25" t="s">
        <v>1493</v>
      </c>
    </row>
    <row r="333" ht="15.75" customHeight="1">
      <c r="A333" s="27" t="s">
        <v>1823</v>
      </c>
      <c r="B333" s="27" t="s">
        <v>843</v>
      </c>
      <c r="C333" s="27" t="s">
        <v>280</v>
      </c>
      <c r="D333" s="27" t="s">
        <v>1489</v>
      </c>
      <c r="E333" s="26">
        <v>0.7</v>
      </c>
      <c r="F333" s="33">
        <v>45146.0</v>
      </c>
      <c r="G333" s="27" t="s">
        <v>187</v>
      </c>
      <c r="H333" s="27" t="s">
        <v>1496</v>
      </c>
    </row>
    <row r="334" ht="15.75" customHeight="1">
      <c r="A334" s="25" t="s">
        <v>1824</v>
      </c>
      <c r="B334" s="25" t="s">
        <v>843</v>
      </c>
      <c r="C334" s="25" t="s">
        <v>359</v>
      </c>
      <c r="D334" s="25" t="s">
        <v>1495</v>
      </c>
      <c r="E334" s="24">
        <v>0.7</v>
      </c>
      <c r="F334" s="30">
        <v>45722.0</v>
      </c>
      <c r="G334" s="25" t="s">
        <v>187</v>
      </c>
      <c r="H334" s="25" t="s">
        <v>1487</v>
      </c>
    </row>
    <row r="335" ht="15.75" customHeight="1">
      <c r="A335" s="27" t="s">
        <v>1825</v>
      </c>
      <c r="B335" s="27" t="s">
        <v>843</v>
      </c>
      <c r="C335" s="27" t="s">
        <v>263</v>
      </c>
      <c r="D335" s="27" t="s">
        <v>1495</v>
      </c>
      <c r="E335" s="26">
        <v>3.9</v>
      </c>
      <c r="F335" s="33">
        <v>45451.0</v>
      </c>
      <c r="G335" s="27" t="s">
        <v>187</v>
      </c>
      <c r="H335" s="27" t="s">
        <v>1493</v>
      </c>
    </row>
    <row r="336" ht="15.75" customHeight="1">
      <c r="A336" s="25" t="s">
        <v>1826</v>
      </c>
      <c r="B336" s="25" t="s">
        <v>849</v>
      </c>
      <c r="C336" s="25" t="s">
        <v>370</v>
      </c>
      <c r="D336" s="25" t="s">
        <v>1489</v>
      </c>
      <c r="E336" s="24">
        <v>2.5</v>
      </c>
      <c r="F336" s="30">
        <v>45778.0</v>
      </c>
      <c r="G336" s="25" t="s">
        <v>181</v>
      </c>
      <c r="H336" s="25" t="s">
        <v>1496</v>
      </c>
    </row>
    <row r="337" ht="15.75" customHeight="1">
      <c r="A337" s="27" t="s">
        <v>1827</v>
      </c>
      <c r="B337" s="27" t="s">
        <v>849</v>
      </c>
      <c r="C337" s="27" t="s">
        <v>298</v>
      </c>
      <c r="D337" s="27" t="s">
        <v>1492</v>
      </c>
      <c r="E337" s="26">
        <v>0.7</v>
      </c>
      <c r="F337" s="33">
        <v>45471.0</v>
      </c>
      <c r="G337" s="27" t="s">
        <v>187</v>
      </c>
      <c r="H337" s="27" t="s">
        <v>1487</v>
      </c>
    </row>
    <row r="338" ht="15.75" customHeight="1">
      <c r="A338" s="25" t="s">
        <v>1828</v>
      </c>
      <c r="B338" s="25" t="s">
        <v>849</v>
      </c>
      <c r="C338" s="25" t="s">
        <v>325</v>
      </c>
      <c r="D338" s="25" t="s">
        <v>1489</v>
      </c>
      <c r="E338" s="24">
        <v>0.7</v>
      </c>
      <c r="F338" s="30">
        <v>45549.0</v>
      </c>
      <c r="G338" s="25" t="s">
        <v>187</v>
      </c>
      <c r="H338" s="25" t="s">
        <v>1493</v>
      </c>
    </row>
    <row r="339" ht="15.75" customHeight="1">
      <c r="A339" s="27" t="s">
        <v>1829</v>
      </c>
      <c r="B339" s="27" t="s">
        <v>849</v>
      </c>
      <c r="C339" s="27" t="s">
        <v>309</v>
      </c>
      <c r="D339" s="27" t="s">
        <v>1486</v>
      </c>
      <c r="E339" s="26">
        <v>3.9</v>
      </c>
      <c r="F339" s="33">
        <v>45125.0</v>
      </c>
      <c r="G339" s="27" t="s">
        <v>187</v>
      </c>
      <c r="H339" s="27" t="s">
        <v>1493</v>
      </c>
    </row>
    <row r="340" ht="15.75" customHeight="1">
      <c r="A340" s="25" t="s">
        <v>1830</v>
      </c>
      <c r="B340" s="25" t="s">
        <v>849</v>
      </c>
      <c r="C340" s="25" t="s">
        <v>365</v>
      </c>
      <c r="D340" s="25" t="s">
        <v>1492</v>
      </c>
      <c r="E340" s="24">
        <v>2.4</v>
      </c>
      <c r="F340" s="30">
        <v>45315.0</v>
      </c>
      <c r="G340" s="25" t="s">
        <v>187</v>
      </c>
      <c r="H340" s="25" t="s">
        <v>1493</v>
      </c>
    </row>
    <row r="341" ht="15.75" customHeight="1">
      <c r="A341" s="27" t="s">
        <v>1831</v>
      </c>
      <c r="B341" s="27" t="s">
        <v>849</v>
      </c>
      <c r="C341" s="27" t="s">
        <v>321</v>
      </c>
      <c r="D341" s="27" t="s">
        <v>1492</v>
      </c>
      <c r="E341" s="26">
        <v>1.4</v>
      </c>
      <c r="F341" s="33">
        <v>45293.0</v>
      </c>
      <c r="G341" s="27" t="s">
        <v>187</v>
      </c>
      <c r="H341" s="27" t="s">
        <v>1487</v>
      </c>
    </row>
    <row r="342" ht="15.75" customHeight="1">
      <c r="A342" s="25" t="s">
        <v>1832</v>
      </c>
      <c r="B342" s="25" t="s">
        <v>849</v>
      </c>
      <c r="C342" s="25" t="s">
        <v>238</v>
      </c>
      <c r="D342" s="25" t="s">
        <v>1492</v>
      </c>
      <c r="E342" s="24">
        <v>2.0</v>
      </c>
      <c r="F342" s="30">
        <v>45143.0</v>
      </c>
      <c r="G342" s="25" t="s">
        <v>187</v>
      </c>
      <c r="H342" s="25" t="s">
        <v>1487</v>
      </c>
    </row>
    <row r="343" ht="15.75" customHeight="1">
      <c r="A343" s="27" t="s">
        <v>1833</v>
      </c>
      <c r="B343" s="27" t="s">
        <v>849</v>
      </c>
      <c r="C343" s="27" t="s">
        <v>359</v>
      </c>
      <c r="D343" s="27" t="s">
        <v>1492</v>
      </c>
      <c r="E343" s="26">
        <v>2.9</v>
      </c>
      <c r="F343" s="33">
        <v>45801.0</v>
      </c>
      <c r="G343" s="27" t="s">
        <v>187</v>
      </c>
      <c r="H343" s="27" t="s">
        <v>1493</v>
      </c>
    </row>
    <row r="344" ht="15.75" customHeight="1">
      <c r="A344" s="25" t="s">
        <v>1834</v>
      </c>
      <c r="B344" s="25" t="s">
        <v>849</v>
      </c>
      <c r="C344" s="25" t="s">
        <v>256</v>
      </c>
      <c r="D344" s="25" t="s">
        <v>1489</v>
      </c>
      <c r="E344" s="24">
        <v>1.1</v>
      </c>
      <c r="F344" s="30">
        <v>45749.0</v>
      </c>
      <c r="G344" s="25" t="s">
        <v>187</v>
      </c>
      <c r="H344" s="25" t="s">
        <v>1487</v>
      </c>
    </row>
    <row r="345" ht="15.75" customHeight="1">
      <c r="A345" s="27" t="s">
        <v>1835</v>
      </c>
      <c r="B345" s="27" t="s">
        <v>855</v>
      </c>
      <c r="C345" s="27" t="s">
        <v>305</v>
      </c>
      <c r="D345" s="27" t="s">
        <v>1495</v>
      </c>
      <c r="E345" s="26">
        <v>2.7</v>
      </c>
      <c r="F345" s="33">
        <v>45589.0</v>
      </c>
      <c r="G345" s="27" t="s">
        <v>181</v>
      </c>
      <c r="H345" s="27" t="s">
        <v>1487</v>
      </c>
    </row>
    <row r="346" ht="15.75" customHeight="1">
      <c r="A346" s="25" t="s">
        <v>1836</v>
      </c>
      <c r="B346" s="25" t="s">
        <v>855</v>
      </c>
      <c r="C346" s="25" t="s">
        <v>329</v>
      </c>
      <c r="D346" s="25" t="s">
        <v>1495</v>
      </c>
      <c r="E346" s="24">
        <v>2.4</v>
      </c>
      <c r="F346" s="30">
        <v>45695.0</v>
      </c>
      <c r="G346" s="25" t="s">
        <v>187</v>
      </c>
      <c r="H346" s="25" t="s">
        <v>1487</v>
      </c>
    </row>
    <row r="347" ht="15.75" customHeight="1">
      <c r="A347" s="27" t="s">
        <v>1837</v>
      </c>
      <c r="B347" s="27" t="s">
        <v>855</v>
      </c>
      <c r="C347" s="27" t="s">
        <v>356</v>
      </c>
      <c r="D347" s="27" t="s">
        <v>1486</v>
      </c>
      <c r="E347" s="26">
        <v>1.4</v>
      </c>
      <c r="F347" s="33">
        <v>45853.0</v>
      </c>
      <c r="G347" s="27" t="s">
        <v>187</v>
      </c>
      <c r="H347" s="27" t="s">
        <v>1496</v>
      </c>
    </row>
    <row r="348" ht="15.75" customHeight="1">
      <c r="A348" s="25" t="s">
        <v>1838</v>
      </c>
      <c r="B348" s="25" t="s">
        <v>855</v>
      </c>
      <c r="C348" s="25" t="s">
        <v>370</v>
      </c>
      <c r="D348" s="25" t="s">
        <v>1486</v>
      </c>
      <c r="E348" s="24">
        <v>0.5</v>
      </c>
      <c r="F348" s="30">
        <v>44997.0</v>
      </c>
      <c r="G348" s="25" t="s">
        <v>187</v>
      </c>
      <c r="H348" s="25" t="s">
        <v>1496</v>
      </c>
    </row>
    <row r="349" ht="15.75" customHeight="1">
      <c r="A349" s="27" t="s">
        <v>1839</v>
      </c>
      <c r="B349" s="27" t="s">
        <v>855</v>
      </c>
      <c r="C349" s="27" t="s">
        <v>298</v>
      </c>
      <c r="D349" s="27" t="s">
        <v>1492</v>
      </c>
      <c r="E349" s="26">
        <v>2.3</v>
      </c>
      <c r="F349" s="33">
        <v>45545.0</v>
      </c>
      <c r="G349" s="27" t="s">
        <v>187</v>
      </c>
      <c r="H349" s="27" t="s">
        <v>1493</v>
      </c>
    </row>
    <row r="350" ht="15.75" customHeight="1">
      <c r="A350" s="25" t="s">
        <v>1840</v>
      </c>
      <c r="B350" s="25" t="s">
        <v>855</v>
      </c>
      <c r="C350" s="25" t="s">
        <v>333</v>
      </c>
      <c r="D350" s="25" t="s">
        <v>1495</v>
      </c>
      <c r="E350" s="24">
        <v>1.3</v>
      </c>
      <c r="F350" s="30">
        <v>45571.0</v>
      </c>
      <c r="G350" s="25" t="s">
        <v>187</v>
      </c>
      <c r="H350" s="25" t="s">
        <v>1493</v>
      </c>
    </row>
    <row r="351" ht="15.75" customHeight="1">
      <c r="A351" s="27" t="s">
        <v>1841</v>
      </c>
      <c r="B351" s="27" t="s">
        <v>862</v>
      </c>
      <c r="C351" s="27" t="s">
        <v>246</v>
      </c>
      <c r="D351" s="27" t="s">
        <v>1495</v>
      </c>
      <c r="E351" s="26">
        <v>5.4</v>
      </c>
      <c r="F351" s="33">
        <v>45438.0</v>
      </c>
      <c r="G351" s="27" t="s">
        <v>181</v>
      </c>
      <c r="H351" s="27" t="s">
        <v>1493</v>
      </c>
    </row>
    <row r="352" ht="15.75" customHeight="1">
      <c r="A352" s="25" t="s">
        <v>1842</v>
      </c>
      <c r="B352" s="25" t="s">
        <v>862</v>
      </c>
      <c r="C352" s="25" t="s">
        <v>288</v>
      </c>
      <c r="D352" s="25" t="s">
        <v>1495</v>
      </c>
      <c r="E352" s="24">
        <v>2.2</v>
      </c>
      <c r="F352" s="30">
        <v>45745.0</v>
      </c>
      <c r="G352" s="25" t="s">
        <v>187</v>
      </c>
      <c r="H352" s="25" t="s">
        <v>1487</v>
      </c>
    </row>
    <row r="353" ht="15.75" customHeight="1">
      <c r="A353" s="27" t="s">
        <v>1843</v>
      </c>
      <c r="B353" s="27" t="s">
        <v>862</v>
      </c>
      <c r="C353" s="27" t="s">
        <v>344</v>
      </c>
      <c r="D353" s="27" t="s">
        <v>1486</v>
      </c>
      <c r="E353" s="26">
        <v>4.5</v>
      </c>
      <c r="F353" s="33">
        <v>45591.0</v>
      </c>
      <c r="G353" s="27" t="s">
        <v>187</v>
      </c>
      <c r="H353" s="27" t="s">
        <v>1496</v>
      </c>
    </row>
    <row r="354" ht="15.75" customHeight="1">
      <c r="A354" s="25" t="s">
        <v>1844</v>
      </c>
      <c r="B354" s="25" t="s">
        <v>862</v>
      </c>
      <c r="C354" s="25" t="s">
        <v>370</v>
      </c>
      <c r="D354" s="25" t="s">
        <v>1489</v>
      </c>
      <c r="E354" s="24">
        <v>5.0</v>
      </c>
      <c r="F354" s="30">
        <v>45122.0</v>
      </c>
      <c r="G354" s="25" t="s">
        <v>187</v>
      </c>
      <c r="H354" s="25" t="s">
        <v>1487</v>
      </c>
    </row>
    <row r="355" ht="15.75" customHeight="1">
      <c r="A355" s="27" t="s">
        <v>1845</v>
      </c>
      <c r="B355" s="27" t="s">
        <v>862</v>
      </c>
      <c r="C355" s="27" t="s">
        <v>365</v>
      </c>
      <c r="D355" s="27" t="s">
        <v>1492</v>
      </c>
      <c r="E355" s="26">
        <v>0.7</v>
      </c>
      <c r="F355" s="33">
        <v>45708.0</v>
      </c>
      <c r="G355" s="27" t="s">
        <v>187</v>
      </c>
      <c r="H355" s="27" t="s">
        <v>1493</v>
      </c>
    </row>
    <row r="356" ht="15.75" customHeight="1">
      <c r="A356" s="25" t="s">
        <v>1846</v>
      </c>
      <c r="B356" s="25" t="s">
        <v>868</v>
      </c>
      <c r="C356" s="25" t="s">
        <v>329</v>
      </c>
      <c r="D356" s="25" t="s">
        <v>1492</v>
      </c>
      <c r="E356" s="24">
        <v>2.6</v>
      </c>
      <c r="F356" s="30">
        <v>44950.0</v>
      </c>
      <c r="G356" s="25" t="s">
        <v>181</v>
      </c>
      <c r="H356" s="25" t="s">
        <v>1487</v>
      </c>
    </row>
    <row r="357" ht="15.75" customHeight="1">
      <c r="A357" s="27" t="s">
        <v>1847</v>
      </c>
      <c r="B357" s="27" t="s">
        <v>868</v>
      </c>
      <c r="C357" s="27" t="s">
        <v>374</v>
      </c>
      <c r="D357" s="27" t="s">
        <v>1492</v>
      </c>
      <c r="E357" s="26">
        <v>1.8</v>
      </c>
      <c r="F357" s="33">
        <v>45551.0</v>
      </c>
      <c r="G357" s="27" t="s">
        <v>187</v>
      </c>
      <c r="H357" s="27" t="s">
        <v>1487</v>
      </c>
    </row>
    <row r="358" ht="15.75" customHeight="1">
      <c r="A358" s="25" t="s">
        <v>1848</v>
      </c>
      <c r="B358" s="25" t="s">
        <v>868</v>
      </c>
      <c r="C358" s="25" t="s">
        <v>333</v>
      </c>
      <c r="D358" s="25" t="s">
        <v>1489</v>
      </c>
      <c r="E358" s="24">
        <v>2.4</v>
      </c>
      <c r="F358" s="30">
        <v>45233.0</v>
      </c>
      <c r="G358" s="25" t="s">
        <v>187</v>
      </c>
      <c r="H358" s="25" t="s">
        <v>1496</v>
      </c>
    </row>
    <row r="359" ht="15.75" customHeight="1">
      <c r="A359" s="27" t="s">
        <v>1849</v>
      </c>
      <c r="B359" s="27" t="s">
        <v>868</v>
      </c>
      <c r="C359" s="27" t="s">
        <v>266</v>
      </c>
      <c r="D359" s="27" t="s">
        <v>1492</v>
      </c>
      <c r="E359" s="26">
        <v>1.3</v>
      </c>
      <c r="F359" s="33">
        <v>45030.0</v>
      </c>
      <c r="G359" s="27" t="s">
        <v>187</v>
      </c>
      <c r="H359" s="27" t="s">
        <v>1487</v>
      </c>
    </row>
    <row r="360" ht="15.75" customHeight="1">
      <c r="A360" s="25" t="s">
        <v>1850</v>
      </c>
      <c r="B360" s="25" t="s">
        <v>868</v>
      </c>
      <c r="C360" s="25" t="s">
        <v>365</v>
      </c>
      <c r="D360" s="25" t="s">
        <v>1492</v>
      </c>
      <c r="E360" s="24">
        <v>1.9</v>
      </c>
      <c r="F360" s="30">
        <v>45839.0</v>
      </c>
      <c r="G360" s="25" t="s">
        <v>187</v>
      </c>
      <c r="H360" s="25" t="s">
        <v>1487</v>
      </c>
    </row>
    <row r="361" ht="15.75" customHeight="1">
      <c r="A361" s="27" t="s">
        <v>1851</v>
      </c>
      <c r="B361" s="27" t="s">
        <v>868</v>
      </c>
      <c r="C361" s="27" t="s">
        <v>359</v>
      </c>
      <c r="D361" s="27" t="s">
        <v>1492</v>
      </c>
      <c r="E361" s="26">
        <v>0.8</v>
      </c>
      <c r="F361" s="33">
        <v>45811.0</v>
      </c>
      <c r="G361" s="27" t="s">
        <v>187</v>
      </c>
      <c r="H361" s="27" t="s">
        <v>1496</v>
      </c>
    </row>
    <row r="362" ht="15.75" customHeight="1">
      <c r="A362" s="25" t="s">
        <v>1852</v>
      </c>
      <c r="B362" s="25" t="s">
        <v>868</v>
      </c>
      <c r="C362" s="25" t="s">
        <v>317</v>
      </c>
      <c r="D362" s="25" t="s">
        <v>1492</v>
      </c>
      <c r="E362" s="24">
        <v>1.0</v>
      </c>
      <c r="F362" s="30">
        <v>45615.0</v>
      </c>
      <c r="G362" s="25" t="s">
        <v>187</v>
      </c>
      <c r="H362" s="25" t="s">
        <v>1493</v>
      </c>
    </row>
    <row r="363" ht="15.75" customHeight="1">
      <c r="A363" s="27" t="s">
        <v>1853</v>
      </c>
      <c r="B363" s="27" t="s">
        <v>875</v>
      </c>
      <c r="C363" s="27" t="s">
        <v>329</v>
      </c>
      <c r="D363" s="27" t="s">
        <v>1489</v>
      </c>
      <c r="E363" s="26">
        <v>1.0</v>
      </c>
      <c r="F363" s="33">
        <v>45332.0</v>
      </c>
      <c r="G363" s="27" t="s">
        <v>181</v>
      </c>
      <c r="H363" s="27" t="s">
        <v>1496</v>
      </c>
    </row>
    <row r="364" ht="15.75" customHeight="1">
      <c r="A364" s="25" t="s">
        <v>1854</v>
      </c>
      <c r="B364" s="25" t="s">
        <v>875</v>
      </c>
      <c r="C364" s="25" t="s">
        <v>370</v>
      </c>
      <c r="D364" s="25" t="s">
        <v>1495</v>
      </c>
      <c r="E364" s="24">
        <v>2.5</v>
      </c>
      <c r="F364" s="30">
        <v>46000.0</v>
      </c>
      <c r="G364" s="25" t="s">
        <v>187</v>
      </c>
      <c r="H364" s="25" t="s">
        <v>1493</v>
      </c>
    </row>
    <row r="365" ht="15.75" customHeight="1">
      <c r="A365" s="27" t="s">
        <v>1855</v>
      </c>
      <c r="B365" s="27" t="s">
        <v>875</v>
      </c>
      <c r="C365" s="27" t="s">
        <v>273</v>
      </c>
      <c r="D365" s="27" t="s">
        <v>1495</v>
      </c>
      <c r="E365" s="26">
        <v>1.4</v>
      </c>
      <c r="F365" s="33">
        <v>45807.0</v>
      </c>
      <c r="G365" s="27" t="s">
        <v>187</v>
      </c>
      <c r="H365" s="27" t="s">
        <v>1496</v>
      </c>
    </row>
    <row r="366" ht="15.75" customHeight="1">
      <c r="A366" s="25" t="s">
        <v>1856</v>
      </c>
      <c r="B366" s="25" t="s">
        <v>875</v>
      </c>
      <c r="C366" s="25" t="s">
        <v>313</v>
      </c>
      <c r="D366" s="25" t="s">
        <v>1492</v>
      </c>
      <c r="E366" s="24">
        <v>2.5</v>
      </c>
      <c r="F366" s="30">
        <v>45157.0</v>
      </c>
      <c r="G366" s="25" t="s">
        <v>187</v>
      </c>
      <c r="H366" s="25" t="s">
        <v>1487</v>
      </c>
    </row>
    <row r="367" ht="15.75" customHeight="1">
      <c r="A367" s="27" t="s">
        <v>1857</v>
      </c>
      <c r="B367" s="27" t="s">
        <v>875</v>
      </c>
      <c r="C367" s="27" t="s">
        <v>234</v>
      </c>
      <c r="D367" s="27" t="s">
        <v>1495</v>
      </c>
      <c r="E367" s="26">
        <v>1.8</v>
      </c>
      <c r="F367" s="33">
        <v>45317.0</v>
      </c>
      <c r="G367" s="27" t="s">
        <v>187</v>
      </c>
      <c r="H367" s="27" t="s">
        <v>1496</v>
      </c>
    </row>
    <row r="368" ht="15.75" customHeight="1">
      <c r="A368" s="25" t="s">
        <v>1858</v>
      </c>
      <c r="B368" s="25" t="s">
        <v>875</v>
      </c>
      <c r="C368" s="25" t="s">
        <v>321</v>
      </c>
      <c r="D368" s="25" t="s">
        <v>1495</v>
      </c>
      <c r="E368" s="24">
        <v>2.8</v>
      </c>
      <c r="F368" s="30">
        <v>45551.0</v>
      </c>
      <c r="G368" s="25" t="s">
        <v>187</v>
      </c>
      <c r="H368" s="25" t="s">
        <v>1493</v>
      </c>
    </row>
    <row r="369" ht="15.75" customHeight="1">
      <c r="A369" s="27" t="s">
        <v>1859</v>
      </c>
      <c r="B369" s="27" t="s">
        <v>875</v>
      </c>
      <c r="C369" s="27" t="s">
        <v>359</v>
      </c>
      <c r="D369" s="27" t="s">
        <v>1486</v>
      </c>
      <c r="E369" s="26">
        <v>2.7</v>
      </c>
      <c r="F369" s="33">
        <v>45832.0</v>
      </c>
      <c r="G369" s="27" t="s">
        <v>187</v>
      </c>
      <c r="H369" s="27" t="s">
        <v>1487</v>
      </c>
    </row>
    <row r="370" ht="15.75" customHeight="1">
      <c r="A370" s="25" t="s">
        <v>1860</v>
      </c>
      <c r="B370" s="25" t="s">
        <v>875</v>
      </c>
      <c r="C370" s="25" t="s">
        <v>374</v>
      </c>
      <c r="D370" s="25" t="s">
        <v>1489</v>
      </c>
      <c r="E370" s="24">
        <v>0.7</v>
      </c>
      <c r="F370" s="30">
        <v>45405.0</v>
      </c>
      <c r="G370" s="25" t="s">
        <v>187</v>
      </c>
      <c r="H370" s="25" t="s">
        <v>1493</v>
      </c>
    </row>
    <row r="371" ht="15.75" customHeight="1">
      <c r="A371" s="27" t="s">
        <v>1861</v>
      </c>
      <c r="B371" s="27" t="s">
        <v>875</v>
      </c>
      <c r="C371" s="27" t="s">
        <v>295</v>
      </c>
      <c r="D371" s="27" t="s">
        <v>1492</v>
      </c>
      <c r="E371" s="26">
        <v>1.0</v>
      </c>
      <c r="F371" s="33">
        <v>45102.0</v>
      </c>
      <c r="G371" s="27" t="s">
        <v>187</v>
      </c>
      <c r="H371" s="27" t="s">
        <v>1493</v>
      </c>
    </row>
    <row r="372" ht="15.75" customHeight="1">
      <c r="A372" s="25" t="s">
        <v>1862</v>
      </c>
      <c r="B372" s="25" t="s">
        <v>883</v>
      </c>
      <c r="C372" s="25" t="s">
        <v>329</v>
      </c>
      <c r="D372" s="25" t="s">
        <v>1495</v>
      </c>
      <c r="E372" s="24">
        <v>0.6</v>
      </c>
      <c r="F372" s="30">
        <v>45355.0</v>
      </c>
      <c r="G372" s="25" t="s">
        <v>181</v>
      </c>
      <c r="H372" s="25" t="s">
        <v>1487</v>
      </c>
    </row>
    <row r="373" ht="15.75" customHeight="1">
      <c r="A373" s="27" t="s">
        <v>1863</v>
      </c>
      <c r="B373" s="27" t="s">
        <v>883</v>
      </c>
      <c r="C373" s="27" t="s">
        <v>370</v>
      </c>
      <c r="D373" s="27" t="s">
        <v>1492</v>
      </c>
      <c r="E373" s="26">
        <v>1.6</v>
      </c>
      <c r="F373" s="33">
        <v>45998.0</v>
      </c>
      <c r="G373" s="27" t="s">
        <v>187</v>
      </c>
      <c r="H373" s="27" t="s">
        <v>1496</v>
      </c>
    </row>
    <row r="374" ht="15.75" customHeight="1">
      <c r="A374" s="25" t="s">
        <v>1864</v>
      </c>
      <c r="B374" s="25" t="s">
        <v>883</v>
      </c>
      <c r="C374" s="25" t="s">
        <v>298</v>
      </c>
      <c r="D374" s="25" t="s">
        <v>1492</v>
      </c>
      <c r="E374" s="24">
        <v>3.9</v>
      </c>
      <c r="F374" s="30">
        <v>45216.0</v>
      </c>
      <c r="G374" s="25" t="s">
        <v>187</v>
      </c>
      <c r="H374" s="25" t="s">
        <v>1487</v>
      </c>
    </row>
    <row r="375" ht="15.75" customHeight="1">
      <c r="A375" s="27" t="s">
        <v>1865</v>
      </c>
      <c r="B375" s="27" t="s">
        <v>883</v>
      </c>
      <c r="C375" s="27" t="s">
        <v>325</v>
      </c>
      <c r="D375" s="27" t="s">
        <v>1492</v>
      </c>
      <c r="E375" s="26">
        <v>0.6</v>
      </c>
      <c r="F375" s="33">
        <v>46005.0</v>
      </c>
      <c r="G375" s="27" t="s">
        <v>187</v>
      </c>
      <c r="H375" s="27" t="s">
        <v>1493</v>
      </c>
    </row>
    <row r="376" ht="15.75" customHeight="1">
      <c r="A376" s="25" t="s">
        <v>1866</v>
      </c>
      <c r="B376" s="25" t="s">
        <v>883</v>
      </c>
      <c r="C376" s="25" t="s">
        <v>348</v>
      </c>
      <c r="D376" s="25" t="s">
        <v>1495</v>
      </c>
      <c r="E376" s="24">
        <v>0.8</v>
      </c>
      <c r="F376" s="30">
        <v>45338.0</v>
      </c>
      <c r="G376" s="25" t="s">
        <v>187</v>
      </c>
      <c r="H376" s="25" t="s">
        <v>1487</v>
      </c>
    </row>
    <row r="377" ht="15.75" customHeight="1">
      <c r="A377" s="27" t="s">
        <v>1867</v>
      </c>
      <c r="B377" s="27" t="s">
        <v>883</v>
      </c>
      <c r="C377" s="27" t="s">
        <v>365</v>
      </c>
      <c r="D377" s="27" t="s">
        <v>1492</v>
      </c>
      <c r="E377" s="26">
        <v>0.8</v>
      </c>
      <c r="F377" s="33">
        <v>44944.0</v>
      </c>
      <c r="G377" s="27" t="s">
        <v>187</v>
      </c>
      <c r="H377" s="27" t="s">
        <v>1493</v>
      </c>
    </row>
    <row r="378" ht="15.75" customHeight="1">
      <c r="A378" s="25" t="s">
        <v>1868</v>
      </c>
      <c r="B378" s="25" t="s">
        <v>890</v>
      </c>
      <c r="C378" s="25" t="s">
        <v>260</v>
      </c>
      <c r="D378" s="25" t="s">
        <v>1486</v>
      </c>
      <c r="E378" s="24">
        <v>1.0</v>
      </c>
      <c r="F378" s="30">
        <v>45573.0</v>
      </c>
      <c r="G378" s="25" t="s">
        <v>181</v>
      </c>
      <c r="H378" s="25" t="s">
        <v>1496</v>
      </c>
    </row>
    <row r="379" ht="15.75" customHeight="1">
      <c r="A379" s="27" t="s">
        <v>1869</v>
      </c>
      <c r="B379" s="27" t="s">
        <v>890</v>
      </c>
      <c r="C379" s="27" t="s">
        <v>229</v>
      </c>
      <c r="D379" s="27" t="s">
        <v>1486</v>
      </c>
      <c r="E379" s="26">
        <v>3.4</v>
      </c>
      <c r="F379" s="33">
        <v>45308.0</v>
      </c>
      <c r="G379" s="27" t="s">
        <v>187</v>
      </c>
      <c r="H379" s="27" t="s">
        <v>1493</v>
      </c>
    </row>
    <row r="380" ht="15.75" customHeight="1">
      <c r="A380" s="25" t="s">
        <v>1870</v>
      </c>
      <c r="B380" s="25" t="s">
        <v>890</v>
      </c>
      <c r="C380" s="25" t="s">
        <v>270</v>
      </c>
      <c r="D380" s="25" t="s">
        <v>1492</v>
      </c>
      <c r="E380" s="24">
        <v>3.0</v>
      </c>
      <c r="F380" s="30">
        <v>44971.0</v>
      </c>
      <c r="G380" s="25" t="s">
        <v>187</v>
      </c>
      <c r="H380" s="25" t="s">
        <v>1493</v>
      </c>
    </row>
    <row r="381" ht="15.75" customHeight="1">
      <c r="A381" s="27" t="s">
        <v>1871</v>
      </c>
      <c r="B381" s="27" t="s">
        <v>890</v>
      </c>
      <c r="C381" s="27" t="s">
        <v>305</v>
      </c>
      <c r="D381" s="27" t="s">
        <v>1495</v>
      </c>
      <c r="E381" s="26">
        <v>3.4</v>
      </c>
      <c r="F381" s="33">
        <v>45610.0</v>
      </c>
      <c r="G381" s="27" t="s">
        <v>187</v>
      </c>
      <c r="H381" s="27" t="s">
        <v>1496</v>
      </c>
    </row>
    <row r="382" ht="15.75" customHeight="1">
      <c r="A382" s="25" t="s">
        <v>1872</v>
      </c>
      <c r="B382" s="25" t="s">
        <v>890</v>
      </c>
      <c r="C382" s="25" t="s">
        <v>242</v>
      </c>
      <c r="D382" s="25" t="s">
        <v>1495</v>
      </c>
      <c r="E382" s="24">
        <v>1.4</v>
      </c>
      <c r="F382" s="30">
        <v>45637.0</v>
      </c>
      <c r="G382" s="25" t="s">
        <v>187</v>
      </c>
      <c r="H382" s="25" t="s">
        <v>1487</v>
      </c>
    </row>
    <row r="383" ht="15.75" customHeight="1">
      <c r="A383" s="27" t="s">
        <v>1873</v>
      </c>
      <c r="B383" s="27" t="s">
        <v>890</v>
      </c>
      <c r="C383" s="27" t="s">
        <v>329</v>
      </c>
      <c r="D383" s="27" t="s">
        <v>1495</v>
      </c>
      <c r="E383" s="26">
        <v>3.9</v>
      </c>
      <c r="F383" s="33">
        <v>45410.0</v>
      </c>
      <c r="G383" s="27" t="s">
        <v>187</v>
      </c>
      <c r="H383" s="27" t="s">
        <v>1487</v>
      </c>
    </row>
    <row r="384" ht="15.75" customHeight="1">
      <c r="A384" s="25" t="s">
        <v>1874</v>
      </c>
      <c r="B384" s="25" t="s">
        <v>890</v>
      </c>
      <c r="C384" s="25" t="s">
        <v>340</v>
      </c>
      <c r="D384" s="25" t="s">
        <v>1495</v>
      </c>
      <c r="E384" s="24">
        <v>0.8</v>
      </c>
      <c r="F384" s="30">
        <v>45454.0</v>
      </c>
      <c r="G384" s="25" t="s">
        <v>187</v>
      </c>
      <c r="H384" s="25" t="s">
        <v>1496</v>
      </c>
    </row>
    <row r="385" ht="15.75" customHeight="1">
      <c r="A385" s="27" t="s">
        <v>1875</v>
      </c>
      <c r="B385" s="27" t="s">
        <v>890</v>
      </c>
      <c r="C385" s="27" t="s">
        <v>370</v>
      </c>
      <c r="D385" s="27" t="s">
        <v>1486</v>
      </c>
      <c r="E385" s="26">
        <v>5.0</v>
      </c>
      <c r="F385" s="33">
        <v>44987.0</v>
      </c>
      <c r="G385" s="27" t="s">
        <v>187</v>
      </c>
      <c r="H385" s="27" t="s">
        <v>1487</v>
      </c>
    </row>
    <row r="386" ht="15.75" customHeight="1">
      <c r="A386" s="25" t="s">
        <v>1876</v>
      </c>
      <c r="B386" s="25" t="s">
        <v>897</v>
      </c>
      <c r="C386" s="25" t="s">
        <v>340</v>
      </c>
      <c r="D386" s="25" t="s">
        <v>1486</v>
      </c>
      <c r="E386" s="24">
        <v>4.5</v>
      </c>
      <c r="F386" s="30">
        <v>45392.0</v>
      </c>
      <c r="G386" s="25" t="s">
        <v>181</v>
      </c>
      <c r="H386" s="25" t="s">
        <v>1496</v>
      </c>
    </row>
    <row r="387" ht="15.75" customHeight="1">
      <c r="A387" s="27" t="s">
        <v>1877</v>
      </c>
      <c r="B387" s="27" t="s">
        <v>897</v>
      </c>
      <c r="C387" s="27" t="s">
        <v>246</v>
      </c>
      <c r="D387" s="27" t="s">
        <v>1495</v>
      </c>
      <c r="E387" s="26">
        <v>1.5</v>
      </c>
      <c r="F387" s="33">
        <v>45566.0</v>
      </c>
      <c r="G387" s="27" t="s">
        <v>187</v>
      </c>
      <c r="H387" s="27" t="s">
        <v>1487</v>
      </c>
    </row>
    <row r="388" ht="15.75" customHeight="1">
      <c r="A388" s="25" t="s">
        <v>1878</v>
      </c>
      <c r="B388" s="25" t="s">
        <v>897</v>
      </c>
      <c r="C388" s="25" t="s">
        <v>370</v>
      </c>
      <c r="D388" s="25" t="s">
        <v>1495</v>
      </c>
      <c r="E388" s="24">
        <v>4.0</v>
      </c>
      <c r="F388" s="30">
        <v>45350.0</v>
      </c>
      <c r="G388" s="25" t="s">
        <v>187</v>
      </c>
      <c r="H388" s="25" t="s">
        <v>1487</v>
      </c>
    </row>
    <row r="389" ht="15.75" customHeight="1">
      <c r="A389" s="27" t="s">
        <v>1879</v>
      </c>
      <c r="B389" s="27" t="s">
        <v>897</v>
      </c>
      <c r="C389" s="27" t="s">
        <v>325</v>
      </c>
      <c r="D389" s="27" t="s">
        <v>1489</v>
      </c>
      <c r="E389" s="26">
        <v>4.0</v>
      </c>
      <c r="F389" s="33">
        <v>45341.0</v>
      </c>
      <c r="G389" s="27" t="s">
        <v>187</v>
      </c>
      <c r="H389" s="27" t="s">
        <v>1493</v>
      </c>
    </row>
    <row r="390" ht="15.75" customHeight="1">
      <c r="A390" s="25" t="s">
        <v>1880</v>
      </c>
      <c r="B390" s="25" t="s">
        <v>897</v>
      </c>
      <c r="C390" s="25" t="s">
        <v>348</v>
      </c>
      <c r="D390" s="25" t="s">
        <v>1495</v>
      </c>
      <c r="E390" s="24">
        <v>5.1</v>
      </c>
      <c r="F390" s="30">
        <v>45999.0</v>
      </c>
      <c r="G390" s="25" t="s">
        <v>187</v>
      </c>
      <c r="H390" s="25" t="s">
        <v>1493</v>
      </c>
    </row>
    <row r="391" ht="15.75" customHeight="1">
      <c r="A391" s="27" t="s">
        <v>1881</v>
      </c>
      <c r="B391" s="27" t="s">
        <v>897</v>
      </c>
      <c r="C391" s="27" t="s">
        <v>266</v>
      </c>
      <c r="D391" s="27" t="s">
        <v>1495</v>
      </c>
      <c r="E391" s="26">
        <v>6.4</v>
      </c>
      <c r="F391" s="33">
        <v>45224.0</v>
      </c>
      <c r="G391" s="27" t="s">
        <v>187</v>
      </c>
      <c r="H391" s="27" t="s">
        <v>1487</v>
      </c>
    </row>
    <row r="392" ht="15.75" customHeight="1">
      <c r="A392" s="25" t="s">
        <v>1882</v>
      </c>
      <c r="B392" s="25" t="s">
        <v>897</v>
      </c>
      <c r="C392" s="25" t="s">
        <v>374</v>
      </c>
      <c r="D392" s="25" t="s">
        <v>1486</v>
      </c>
      <c r="E392" s="24">
        <v>6.5</v>
      </c>
      <c r="F392" s="30">
        <v>45577.0</v>
      </c>
      <c r="G392" s="25" t="s">
        <v>187</v>
      </c>
      <c r="H392" s="25" t="s">
        <v>1493</v>
      </c>
    </row>
    <row r="393" ht="15.75" customHeight="1">
      <c r="A393" s="27" t="s">
        <v>1883</v>
      </c>
      <c r="B393" s="27" t="s">
        <v>897</v>
      </c>
      <c r="C393" s="27" t="s">
        <v>273</v>
      </c>
      <c r="D393" s="27" t="s">
        <v>1492</v>
      </c>
      <c r="E393" s="26">
        <v>6.7</v>
      </c>
      <c r="F393" s="33">
        <v>45169.0</v>
      </c>
      <c r="G393" s="27" t="s">
        <v>187</v>
      </c>
      <c r="H393" s="27" t="s">
        <v>1493</v>
      </c>
    </row>
    <row r="394" ht="15.75" customHeight="1">
      <c r="A394" s="25" t="s">
        <v>1884</v>
      </c>
      <c r="B394" s="25" t="s">
        <v>903</v>
      </c>
      <c r="C394" s="25" t="s">
        <v>229</v>
      </c>
      <c r="D394" s="25" t="s">
        <v>1486</v>
      </c>
      <c r="E394" s="24">
        <v>3.6</v>
      </c>
      <c r="F394" s="30">
        <v>45487.0</v>
      </c>
      <c r="G394" s="25" t="s">
        <v>181</v>
      </c>
      <c r="H394" s="25" t="s">
        <v>1493</v>
      </c>
    </row>
    <row r="395" ht="15.75" customHeight="1">
      <c r="A395" s="27" t="s">
        <v>1885</v>
      </c>
      <c r="B395" s="27" t="s">
        <v>903</v>
      </c>
      <c r="C395" s="27" t="s">
        <v>329</v>
      </c>
      <c r="D395" s="27" t="s">
        <v>1492</v>
      </c>
      <c r="E395" s="26">
        <v>0.9</v>
      </c>
      <c r="F395" s="33">
        <v>45305.0</v>
      </c>
      <c r="G395" s="27" t="s">
        <v>187</v>
      </c>
      <c r="H395" s="27" t="s">
        <v>1493</v>
      </c>
    </row>
    <row r="396" ht="15.75" customHeight="1">
      <c r="A396" s="25" t="s">
        <v>1886</v>
      </c>
      <c r="B396" s="25" t="s">
        <v>903</v>
      </c>
      <c r="C396" s="25" t="s">
        <v>246</v>
      </c>
      <c r="D396" s="25" t="s">
        <v>1492</v>
      </c>
      <c r="E396" s="24">
        <v>2.6</v>
      </c>
      <c r="F396" s="30">
        <v>45473.0</v>
      </c>
      <c r="G396" s="25" t="s">
        <v>187</v>
      </c>
      <c r="H396" s="25" t="s">
        <v>1487</v>
      </c>
    </row>
    <row r="397" ht="15.75" customHeight="1">
      <c r="A397" s="27" t="s">
        <v>1887</v>
      </c>
      <c r="B397" s="27" t="s">
        <v>903</v>
      </c>
      <c r="C397" s="27" t="s">
        <v>370</v>
      </c>
      <c r="D397" s="27" t="s">
        <v>1492</v>
      </c>
      <c r="E397" s="26">
        <v>1.3</v>
      </c>
      <c r="F397" s="33">
        <v>45402.0</v>
      </c>
      <c r="G397" s="27" t="s">
        <v>187</v>
      </c>
      <c r="H397" s="27" t="s">
        <v>1493</v>
      </c>
    </row>
    <row r="398" ht="15.75" customHeight="1">
      <c r="A398" s="25" t="s">
        <v>1888</v>
      </c>
      <c r="B398" s="25" t="s">
        <v>903</v>
      </c>
      <c r="C398" s="25" t="s">
        <v>374</v>
      </c>
      <c r="D398" s="25" t="s">
        <v>1492</v>
      </c>
      <c r="E398" s="24">
        <v>1.8</v>
      </c>
      <c r="F398" s="30">
        <v>45903.0</v>
      </c>
      <c r="G398" s="25" t="s">
        <v>187</v>
      </c>
      <c r="H398" s="25" t="s">
        <v>1493</v>
      </c>
    </row>
    <row r="399" ht="15.75" customHeight="1">
      <c r="A399" s="27" t="s">
        <v>1889</v>
      </c>
      <c r="B399" s="27" t="s">
        <v>903</v>
      </c>
      <c r="C399" s="27" t="s">
        <v>333</v>
      </c>
      <c r="D399" s="27" t="s">
        <v>1492</v>
      </c>
      <c r="E399" s="26">
        <v>2.6</v>
      </c>
      <c r="F399" s="33">
        <v>45692.0</v>
      </c>
      <c r="G399" s="27" t="s">
        <v>187</v>
      </c>
      <c r="H399" s="27" t="s">
        <v>1493</v>
      </c>
    </row>
    <row r="400" ht="15.75" customHeight="1">
      <c r="A400" s="25" t="s">
        <v>1890</v>
      </c>
      <c r="B400" s="25" t="s">
        <v>903</v>
      </c>
      <c r="C400" s="25" t="s">
        <v>313</v>
      </c>
      <c r="D400" s="25" t="s">
        <v>1486</v>
      </c>
      <c r="E400" s="24">
        <v>2.2</v>
      </c>
      <c r="F400" s="30">
        <v>45208.0</v>
      </c>
      <c r="G400" s="25" t="s">
        <v>187</v>
      </c>
      <c r="H400" s="25" t="s">
        <v>1493</v>
      </c>
    </row>
    <row r="401" ht="15.75" customHeight="1">
      <c r="A401" s="27" t="s">
        <v>1891</v>
      </c>
      <c r="B401" s="27" t="s">
        <v>903</v>
      </c>
      <c r="C401" s="27" t="s">
        <v>359</v>
      </c>
      <c r="D401" s="27" t="s">
        <v>1495</v>
      </c>
      <c r="E401" s="26">
        <v>0.6</v>
      </c>
      <c r="F401" s="33">
        <v>44957.0</v>
      </c>
      <c r="G401" s="27" t="s">
        <v>187</v>
      </c>
      <c r="H401" s="27" t="s">
        <v>1496</v>
      </c>
    </row>
    <row r="402" ht="15.75" customHeight="1">
      <c r="A402" s="25" t="s">
        <v>1892</v>
      </c>
      <c r="B402" s="25" t="s">
        <v>903</v>
      </c>
      <c r="C402" s="25" t="s">
        <v>317</v>
      </c>
      <c r="D402" s="25" t="s">
        <v>1486</v>
      </c>
      <c r="E402" s="24">
        <v>1.3</v>
      </c>
      <c r="F402" s="30">
        <v>45342.0</v>
      </c>
      <c r="G402" s="25" t="s">
        <v>187</v>
      </c>
      <c r="H402" s="25" t="s">
        <v>1493</v>
      </c>
    </row>
    <row r="403" ht="15.75" customHeight="1">
      <c r="A403" s="27" t="s">
        <v>1893</v>
      </c>
      <c r="B403" s="27" t="s">
        <v>909</v>
      </c>
      <c r="C403" s="27" t="s">
        <v>344</v>
      </c>
      <c r="D403" s="27" t="s">
        <v>1486</v>
      </c>
      <c r="E403" s="26">
        <v>2.9</v>
      </c>
      <c r="F403" s="33">
        <v>45012.0</v>
      </c>
      <c r="G403" s="27" t="s">
        <v>181</v>
      </c>
      <c r="H403" s="27" t="s">
        <v>1487</v>
      </c>
    </row>
    <row r="404" ht="15.75" customHeight="1">
      <c r="A404" s="25" t="s">
        <v>1894</v>
      </c>
      <c r="B404" s="25" t="s">
        <v>909</v>
      </c>
      <c r="C404" s="25" t="s">
        <v>370</v>
      </c>
      <c r="D404" s="25" t="s">
        <v>1492</v>
      </c>
      <c r="E404" s="24">
        <v>2.6</v>
      </c>
      <c r="F404" s="30">
        <v>45567.0</v>
      </c>
      <c r="G404" s="25" t="s">
        <v>187</v>
      </c>
      <c r="H404" s="25" t="s">
        <v>1496</v>
      </c>
    </row>
    <row r="405" ht="15.75" customHeight="1">
      <c r="A405" s="27" t="s">
        <v>1895</v>
      </c>
      <c r="B405" s="27" t="s">
        <v>909</v>
      </c>
      <c r="C405" s="27" t="s">
        <v>336</v>
      </c>
      <c r="D405" s="27" t="s">
        <v>1492</v>
      </c>
      <c r="E405" s="26">
        <v>4.6</v>
      </c>
      <c r="F405" s="33">
        <v>46002.0</v>
      </c>
      <c r="G405" s="27" t="s">
        <v>187</v>
      </c>
      <c r="H405" s="27" t="s">
        <v>1487</v>
      </c>
    </row>
    <row r="406" ht="15.75" customHeight="1">
      <c r="A406" s="25" t="s">
        <v>1896</v>
      </c>
      <c r="B406" s="25" t="s">
        <v>909</v>
      </c>
      <c r="C406" s="25" t="s">
        <v>280</v>
      </c>
      <c r="D406" s="25" t="s">
        <v>1486</v>
      </c>
      <c r="E406" s="24">
        <v>4.8</v>
      </c>
      <c r="F406" s="30">
        <v>45993.0</v>
      </c>
      <c r="G406" s="25" t="s">
        <v>187</v>
      </c>
      <c r="H406" s="25" t="s">
        <v>1493</v>
      </c>
    </row>
    <row r="407" ht="15.75" customHeight="1">
      <c r="A407" s="27" t="s">
        <v>1897</v>
      </c>
      <c r="B407" s="27" t="s">
        <v>909</v>
      </c>
      <c r="C407" s="27" t="s">
        <v>359</v>
      </c>
      <c r="D407" s="27" t="s">
        <v>1495</v>
      </c>
      <c r="E407" s="26">
        <v>5.0</v>
      </c>
      <c r="F407" s="33">
        <v>45013.0</v>
      </c>
      <c r="G407" s="27" t="s">
        <v>187</v>
      </c>
      <c r="H407" s="27" t="s">
        <v>1493</v>
      </c>
    </row>
    <row r="408" ht="15.75" customHeight="1">
      <c r="A408" s="25" t="s">
        <v>1898</v>
      </c>
      <c r="B408" s="25" t="s">
        <v>909</v>
      </c>
      <c r="C408" s="25" t="s">
        <v>374</v>
      </c>
      <c r="D408" s="25" t="s">
        <v>1492</v>
      </c>
      <c r="E408" s="24">
        <v>2.7</v>
      </c>
      <c r="F408" s="30">
        <v>45007.0</v>
      </c>
      <c r="G408" s="25" t="s">
        <v>187</v>
      </c>
      <c r="H408" s="25" t="s">
        <v>1487</v>
      </c>
    </row>
    <row r="409" ht="15.75" customHeight="1">
      <c r="A409" s="27" t="s">
        <v>1899</v>
      </c>
      <c r="B409" s="27" t="s">
        <v>909</v>
      </c>
      <c r="C409" s="27" t="s">
        <v>250</v>
      </c>
      <c r="D409" s="27" t="s">
        <v>1495</v>
      </c>
      <c r="E409" s="26">
        <v>4.7</v>
      </c>
      <c r="F409" s="33">
        <v>45027.0</v>
      </c>
      <c r="G409" s="27" t="s">
        <v>187</v>
      </c>
      <c r="H409" s="27" t="s">
        <v>1493</v>
      </c>
    </row>
    <row r="410" ht="15.75" customHeight="1">
      <c r="A410" s="25" t="s">
        <v>1900</v>
      </c>
      <c r="B410" s="25" t="s">
        <v>915</v>
      </c>
      <c r="C410" s="25" t="s">
        <v>329</v>
      </c>
      <c r="D410" s="25" t="s">
        <v>1492</v>
      </c>
      <c r="E410" s="24">
        <v>0.7</v>
      </c>
      <c r="F410" s="30">
        <v>45985.0</v>
      </c>
      <c r="G410" s="25" t="s">
        <v>181</v>
      </c>
      <c r="H410" s="25" t="s">
        <v>1493</v>
      </c>
    </row>
    <row r="411" ht="15.75" customHeight="1">
      <c r="A411" s="27" t="s">
        <v>1901</v>
      </c>
      <c r="B411" s="27" t="s">
        <v>915</v>
      </c>
      <c r="C411" s="27" t="s">
        <v>344</v>
      </c>
      <c r="D411" s="27" t="s">
        <v>1495</v>
      </c>
      <c r="E411" s="26">
        <v>2.8</v>
      </c>
      <c r="F411" s="33">
        <v>45112.0</v>
      </c>
      <c r="G411" s="27" t="s">
        <v>187</v>
      </c>
      <c r="H411" s="27" t="s">
        <v>1487</v>
      </c>
    </row>
    <row r="412" ht="15.75" customHeight="1">
      <c r="A412" s="25" t="s">
        <v>1902</v>
      </c>
      <c r="B412" s="25" t="s">
        <v>915</v>
      </c>
      <c r="C412" s="25" t="s">
        <v>370</v>
      </c>
      <c r="D412" s="25" t="s">
        <v>1492</v>
      </c>
      <c r="E412" s="24">
        <v>1.1</v>
      </c>
      <c r="F412" s="30">
        <v>45204.0</v>
      </c>
      <c r="G412" s="25" t="s">
        <v>187</v>
      </c>
      <c r="H412" s="25" t="s">
        <v>1496</v>
      </c>
    </row>
    <row r="413" ht="15.75" customHeight="1">
      <c r="A413" s="27" t="s">
        <v>1903</v>
      </c>
      <c r="B413" s="27" t="s">
        <v>915</v>
      </c>
      <c r="C413" s="27" t="s">
        <v>365</v>
      </c>
      <c r="D413" s="27" t="s">
        <v>1495</v>
      </c>
      <c r="E413" s="26">
        <v>2.1</v>
      </c>
      <c r="F413" s="33">
        <v>45293.0</v>
      </c>
      <c r="G413" s="27" t="s">
        <v>187</v>
      </c>
      <c r="H413" s="27" t="s">
        <v>1496</v>
      </c>
    </row>
    <row r="414" ht="15.75" customHeight="1">
      <c r="A414" s="25" t="s">
        <v>1904</v>
      </c>
      <c r="B414" s="25" t="s">
        <v>915</v>
      </c>
      <c r="C414" s="25" t="s">
        <v>280</v>
      </c>
      <c r="D414" s="25" t="s">
        <v>1492</v>
      </c>
      <c r="E414" s="24">
        <v>3.0</v>
      </c>
      <c r="F414" s="30">
        <v>45340.0</v>
      </c>
      <c r="G414" s="25" t="s">
        <v>187</v>
      </c>
      <c r="H414" s="25" t="s">
        <v>1496</v>
      </c>
    </row>
    <row r="415" ht="15.75" customHeight="1">
      <c r="A415" s="27" t="s">
        <v>1905</v>
      </c>
      <c r="B415" s="27" t="s">
        <v>915</v>
      </c>
      <c r="C415" s="27" t="s">
        <v>359</v>
      </c>
      <c r="D415" s="27" t="s">
        <v>1489</v>
      </c>
      <c r="E415" s="26">
        <v>1.6</v>
      </c>
      <c r="F415" s="33">
        <v>45262.0</v>
      </c>
      <c r="G415" s="27" t="s">
        <v>187</v>
      </c>
      <c r="H415" s="27" t="s">
        <v>1487</v>
      </c>
    </row>
    <row r="416" ht="15.75" customHeight="1">
      <c r="A416" s="25" t="s">
        <v>1906</v>
      </c>
      <c r="B416" s="25" t="s">
        <v>921</v>
      </c>
      <c r="C416" s="25" t="s">
        <v>242</v>
      </c>
      <c r="D416" s="25" t="s">
        <v>1492</v>
      </c>
      <c r="E416" s="24">
        <v>2.8</v>
      </c>
      <c r="F416" s="30">
        <v>45254.0</v>
      </c>
      <c r="G416" s="25" t="s">
        <v>181</v>
      </c>
      <c r="H416" s="25" t="s">
        <v>1496</v>
      </c>
    </row>
    <row r="417" ht="15.75" customHeight="1">
      <c r="A417" s="27" t="s">
        <v>1907</v>
      </c>
      <c r="B417" s="27" t="s">
        <v>921</v>
      </c>
      <c r="C417" s="27" t="s">
        <v>340</v>
      </c>
      <c r="D417" s="27" t="s">
        <v>1492</v>
      </c>
      <c r="E417" s="26">
        <v>0.7</v>
      </c>
      <c r="F417" s="33">
        <v>45276.0</v>
      </c>
      <c r="G417" s="27" t="s">
        <v>187</v>
      </c>
      <c r="H417" s="27" t="s">
        <v>1496</v>
      </c>
    </row>
    <row r="418" ht="15.75" customHeight="1">
      <c r="A418" s="25" t="s">
        <v>1908</v>
      </c>
      <c r="B418" s="25" t="s">
        <v>921</v>
      </c>
      <c r="C418" s="25" t="s">
        <v>370</v>
      </c>
      <c r="D418" s="25" t="s">
        <v>1492</v>
      </c>
      <c r="E418" s="24">
        <v>3.5</v>
      </c>
      <c r="F418" s="30">
        <v>45234.0</v>
      </c>
      <c r="G418" s="25" t="s">
        <v>187</v>
      </c>
      <c r="H418" s="25" t="s">
        <v>1493</v>
      </c>
    </row>
    <row r="419" ht="15.75" customHeight="1">
      <c r="A419" s="27" t="s">
        <v>1909</v>
      </c>
      <c r="B419" s="27" t="s">
        <v>921</v>
      </c>
      <c r="C419" s="27" t="s">
        <v>356</v>
      </c>
      <c r="D419" s="27" t="s">
        <v>1486</v>
      </c>
      <c r="E419" s="26">
        <v>1.3</v>
      </c>
      <c r="F419" s="33">
        <v>45032.0</v>
      </c>
      <c r="G419" s="27" t="s">
        <v>187</v>
      </c>
      <c r="H419" s="27" t="s">
        <v>1496</v>
      </c>
    </row>
    <row r="420" ht="15.75" customHeight="1">
      <c r="A420" s="25" t="s">
        <v>1910</v>
      </c>
      <c r="B420" s="25" t="s">
        <v>921</v>
      </c>
      <c r="C420" s="25" t="s">
        <v>333</v>
      </c>
      <c r="D420" s="25" t="s">
        <v>1495</v>
      </c>
      <c r="E420" s="24">
        <v>3.8</v>
      </c>
      <c r="F420" s="30">
        <v>45840.0</v>
      </c>
      <c r="G420" s="25" t="s">
        <v>187</v>
      </c>
      <c r="H420" s="25" t="s">
        <v>1496</v>
      </c>
    </row>
    <row r="421" ht="15.75" customHeight="1">
      <c r="A421" s="27" t="s">
        <v>1911</v>
      </c>
      <c r="B421" s="27" t="s">
        <v>921</v>
      </c>
      <c r="C421" s="27" t="s">
        <v>365</v>
      </c>
      <c r="D421" s="27" t="s">
        <v>1492</v>
      </c>
      <c r="E421" s="26">
        <v>1.0</v>
      </c>
      <c r="F421" s="33">
        <v>45196.0</v>
      </c>
      <c r="G421" s="27" t="s">
        <v>187</v>
      </c>
      <c r="H421" s="27" t="s">
        <v>1493</v>
      </c>
    </row>
    <row r="422" ht="15.75" customHeight="1">
      <c r="A422" s="25" t="s">
        <v>1912</v>
      </c>
      <c r="B422" s="25" t="s">
        <v>921</v>
      </c>
      <c r="C422" s="25" t="s">
        <v>238</v>
      </c>
      <c r="D422" s="25" t="s">
        <v>1489</v>
      </c>
      <c r="E422" s="24">
        <v>3.9</v>
      </c>
      <c r="F422" s="30">
        <v>44952.0</v>
      </c>
      <c r="G422" s="25" t="s">
        <v>187</v>
      </c>
      <c r="H422" s="25" t="s">
        <v>1496</v>
      </c>
    </row>
    <row r="423" ht="15.75" customHeight="1">
      <c r="A423" s="27" t="s">
        <v>1913</v>
      </c>
      <c r="B423" s="27" t="s">
        <v>928</v>
      </c>
      <c r="C423" s="27" t="s">
        <v>229</v>
      </c>
      <c r="D423" s="27" t="s">
        <v>1489</v>
      </c>
      <c r="E423" s="26">
        <v>2.6</v>
      </c>
      <c r="F423" s="33">
        <v>45428.0</v>
      </c>
      <c r="G423" s="27" t="s">
        <v>181</v>
      </c>
      <c r="H423" s="27" t="s">
        <v>1487</v>
      </c>
    </row>
    <row r="424" ht="15.75" customHeight="1">
      <c r="A424" s="25" t="s">
        <v>1914</v>
      </c>
      <c r="B424" s="25" t="s">
        <v>928</v>
      </c>
      <c r="C424" s="25" t="s">
        <v>284</v>
      </c>
      <c r="D424" s="25" t="s">
        <v>1495</v>
      </c>
      <c r="E424" s="24">
        <v>2.7</v>
      </c>
      <c r="F424" s="30">
        <v>45352.0</v>
      </c>
      <c r="G424" s="25" t="s">
        <v>187</v>
      </c>
      <c r="H424" s="25" t="s">
        <v>1493</v>
      </c>
    </row>
    <row r="425" ht="15.75" customHeight="1">
      <c r="A425" s="27" t="s">
        <v>1915</v>
      </c>
      <c r="B425" s="27" t="s">
        <v>928</v>
      </c>
      <c r="C425" s="27" t="s">
        <v>370</v>
      </c>
      <c r="D425" s="27" t="s">
        <v>1495</v>
      </c>
      <c r="E425" s="26">
        <v>0.7</v>
      </c>
      <c r="F425" s="33">
        <v>45641.0</v>
      </c>
      <c r="G425" s="27" t="s">
        <v>187</v>
      </c>
      <c r="H425" s="27" t="s">
        <v>1493</v>
      </c>
    </row>
    <row r="426" ht="15.75" customHeight="1">
      <c r="A426" s="25" t="s">
        <v>1916</v>
      </c>
      <c r="B426" s="25" t="s">
        <v>928</v>
      </c>
      <c r="C426" s="25" t="s">
        <v>298</v>
      </c>
      <c r="D426" s="25" t="s">
        <v>1489</v>
      </c>
      <c r="E426" s="24">
        <v>0.6</v>
      </c>
      <c r="F426" s="30">
        <v>45538.0</v>
      </c>
      <c r="G426" s="25" t="s">
        <v>187</v>
      </c>
      <c r="H426" s="25" t="s">
        <v>1496</v>
      </c>
    </row>
    <row r="427" ht="15.75" customHeight="1">
      <c r="A427" s="27" t="s">
        <v>1917</v>
      </c>
      <c r="B427" s="27" t="s">
        <v>928</v>
      </c>
      <c r="C427" s="27" t="s">
        <v>325</v>
      </c>
      <c r="D427" s="27" t="s">
        <v>1486</v>
      </c>
      <c r="E427" s="26">
        <v>0.7</v>
      </c>
      <c r="F427" s="33">
        <v>45780.0</v>
      </c>
      <c r="G427" s="27" t="s">
        <v>187</v>
      </c>
      <c r="H427" s="27" t="s">
        <v>1493</v>
      </c>
    </row>
    <row r="428" ht="15.75" customHeight="1">
      <c r="A428" s="25" t="s">
        <v>1918</v>
      </c>
      <c r="B428" s="25" t="s">
        <v>928</v>
      </c>
      <c r="C428" s="25" t="s">
        <v>336</v>
      </c>
      <c r="D428" s="25" t="s">
        <v>1489</v>
      </c>
      <c r="E428" s="24">
        <v>1.5</v>
      </c>
      <c r="F428" s="30">
        <v>45290.0</v>
      </c>
      <c r="G428" s="25" t="s">
        <v>187</v>
      </c>
      <c r="H428" s="25" t="s">
        <v>1496</v>
      </c>
    </row>
    <row r="429" ht="15.75" customHeight="1">
      <c r="A429" s="27" t="s">
        <v>1919</v>
      </c>
      <c r="B429" s="27" t="s">
        <v>928</v>
      </c>
      <c r="C429" s="27" t="s">
        <v>359</v>
      </c>
      <c r="D429" s="27" t="s">
        <v>1492</v>
      </c>
      <c r="E429" s="26">
        <v>1.8</v>
      </c>
      <c r="F429" s="33">
        <v>45000.0</v>
      </c>
      <c r="G429" s="27" t="s">
        <v>187</v>
      </c>
      <c r="H429" s="27" t="s">
        <v>1493</v>
      </c>
    </row>
    <row r="430" ht="15.75" customHeight="1">
      <c r="A430" s="25" t="s">
        <v>1920</v>
      </c>
      <c r="B430" s="25" t="s">
        <v>935</v>
      </c>
      <c r="C430" s="25" t="s">
        <v>270</v>
      </c>
      <c r="D430" s="25" t="s">
        <v>1489</v>
      </c>
      <c r="E430" s="24">
        <v>2.2</v>
      </c>
      <c r="F430" s="30">
        <v>45489.0</v>
      </c>
      <c r="G430" s="25" t="s">
        <v>181</v>
      </c>
      <c r="H430" s="25" t="s">
        <v>1496</v>
      </c>
    </row>
    <row r="431" ht="15.75" customHeight="1">
      <c r="A431" s="27" t="s">
        <v>1921</v>
      </c>
      <c r="B431" s="27" t="s">
        <v>935</v>
      </c>
      <c r="C431" s="27" t="s">
        <v>344</v>
      </c>
      <c r="D431" s="27" t="s">
        <v>1495</v>
      </c>
      <c r="E431" s="26">
        <v>1.8</v>
      </c>
      <c r="F431" s="33">
        <v>45355.0</v>
      </c>
      <c r="G431" s="27" t="s">
        <v>187</v>
      </c>
      <c r="H431" s="27" t="s">
        <v>1487</v>
      </c>
    </row>
    <row r="432" ht="15.75" customHeight="1">
      <c r="A432" s="25" t="s">
        <v>1922</v>
      </c>
      <c r="B432" s="25" t="s">
        <v>935</v>
      </c>
      <c r="C432" s="25" t="s">
        <v>370</v>
      </c>
      <c r="D432" s="25" t="s">
        <v>1489</v>
      </c>
      <c r="E432" s="24">
        <v>1.9</v>
      </c>
      <c r="F432" s="30">
        <v>46010.0</v>
      </c>
      <c r="G432" s="25" t="s">
        <v>187</v>
      </c>
      <c r="H432" s="25" t="s">
        <v>1493</v>
      </c>
    </row>
    <row r="433" ht="15.75" customHeight="1">
      <c r="A433" s="27" t="s">
        <v>1923</v>
      </c>
      <c r="B433" s="27" t="s">
        <v>935</v>
      </c>
      <c r="C433" s="27" t="s">
        <v>362</v>
      </c>
      <c r="D433" s="27" t="s">
        <v>1495</v>
      </c>
      <c r="E433" s="26">
        <v>2.2</v>
      </c>
      <c r="F433" s="33">
        <v>45515.0</v>
      </c>
      <c r="G433" s="27" t="s">
        <v>187</v>
      </c>
      <c r="H433" s="27" t="s">
        <v>1496</v>
      </c>
    </row>
    <row r="434" ht="15.75" customHeight="1">
      <c r="A434" s="25" t="s">
        <v>1924</v>
      </c>
      <c r="B434" s="25" t="s">
        <v>935</v>
      </c>
      <c r="C434" s="25" t="s">
        <v>333</v>
      </c>
      <c r="D434" s="25" t="s">
        <v>1492</v>
      </c>
      <c r="E434" s="24">
        <v>1.3</v>
      </c>
      <c r="F434" s="30">
        <v>46003.0</v>
      </c>
      <c r="G434" s="25" t="s">
        <v>187</v>
      </c>
      <c r="H434" s="25" t="s">
        <v>1487</v>
      </c>
    </row>
    <row r="435" ht="15.75" customHeight="1">
      <c r="A435" s="27" t="s">
        <v>1925</v>
      </c>
      <c r="B435" s="27" t="s">
        <v>935</v>
      </c>
      <c r="C435" s="27" t="s">
        <v>266</v>
      </c>
      <c r="D435" s="27" t="s">
        <v>1486</v>
      </c>
      <c r="E435" s="26">
        <v>1.4</v>
      </c>
      <c r="F435" s="33">
        <v>45192.0</v>
      </c>
      <c r="G435" s="27" t="s">
        <v>187</v>
      </c>
      <c r="H435" s="27" t="s">
        <v>1487</v>
      </c>
    </row>
    <row r="436" ht="15.75" customHeight="1">
      <c r="A436" s="25" t="s">
        <v>1926</v>
      </c>
      <c r="B436" s="25" t="s">
        <v>935</v>
      </c>
      <c r="C436" s="25" t="s">
        <v>365</v>
      </c>
      <c r="D436" s="25" t="s">
        <v>1492</v>
      </c>
      <c r="E436" s="24">
        <v>1.8</v>
      </c>
      <c r="F436" s="30">
        <v>45946.0</v>
      </c>
      <c r="G436" s="25" t="s">
        <v>187</v>
      </c>
      <c r="H436" s="25" t="s">
        <v>1496</v>
      </c>
    </row>
    <row r="437" ht="15.75" customHeight="1">
      <c r="A437" s="27" t="s">
        <v>1927</v>
      </c>
      <c r="B437" s="27" t="s">
        <v>944</v>
      </c>
      <c r="C437" s="27" t="s">
        <v>329</v>
      </c>
      <c r="D437" s="27" t="s">
        <v>1492</v>
      </c>
      <c r="E437" s="26">
        <v>1.0</v>
      </c>
      <c r="F437" s="33">
        <v>45351.0</v>
      </c>
      <c r="G437" s="27" t="s">
        <v>181</v>
      </c>
      <c r="H437" s="27" t="s">
        <v>1487</v>
      </c>
    </row>
    <row r="438" ht="15.75" customHeight="1">
      <c r="A438" s="25" t="s">
        <v>1928</v>
      </c>
      <c r="B438" s="25" t="s">
        <v>944</v>
      </c>
      <c r="C438" s="25" t="s">
        <v>298</v>
      </c>
      <c r="D438" s="25" t="s">
        <v>1486</v>
      </c>
      <c r="E438" s="24">
        <v>2.4</v>
      </c>
      <c r="F438" s="30">
        <v>45610.0</v>
      </c>
      <c r="G438" s="25" t="s">
        <v>187</v>
      </c>
      <c r="H438" s="25" t="s">
        <v>1496</v>
      </c>
    </row>
    <row r="439" ht="15.75" customHeight="1">
      <c r="A439" s="27" t="s">
        <v>1929</v>
      </c>
      <c r="B439" s="27" t="s">
        <v>944</v>
      </c>
      <c r="C439" s="27" t="s">
        <v>325</v>
      </c>
      <c r="D439" s="27" t="s">
        <v>1492</v>
      </c>
      <c r="E439" s="26">
        <v>3.4</v>
      </c>
      <c r="F439" s="33">
        <v>44950.0</v>
      </c>
      <c r="G439" s="27" t="s">
        <v>187</v>
      </c>
      <c r="H439" s="27" t="s">
        <v>1487</v>
      </c>
    </row>
    <row r="440" ht="15.75" customHeight="1">
      <c r="A440" s="25" t="s">
        <v>1930</v>
      </c>
      <c r="B440" s="25" t="s">
        <v>944</v>
      </c>
      <c r="C440" s="25" t="s">
        <v>348</v>
      </c>
      <c r="D440" s="25" t="s">
        <v>1489</v>
      </c>
      <c r="E440" s="24">
        <v>1.8</v>
      </c>
      <c r="F440" s="30">
        <v>45065.0</v>
      </c>
      <c r="G440" s="25" t="s">
        <v>187</v>
      </c>
      <c r="H440" s="25" t="s">
        <v>1496</v>
      </c>
    </row>
    <row r="441" ht="15.75" customHeight="1">
      <c r="A441" s="27" t="s">
        <v>1931</v>
      </c>
      <c r="B441" s="27" t="s">
        <v>944</v>
      </c>
      <c r="C441" s="27" t="s">
        <v>309</v>
      </c>
      <c r="D441" s="27" t="s">
        <v>1495</v>
      </c>
      <c r="E441" s="26">
        <v>3.0</v>
      </c>
      <c r="F441" s="33">
        <v>44939.0</v>
      </c>
      <c r="G441" s="27" t="s">
        <v>187</v>
      </c>
      <c r="H441" s="27" t="s">
        <v>1493</v>
      </c>
    </row>
    <row r="442" ht="15.75" customHeight="1">
      <c r="A442" s="25" t="s">
        <v>1932</v>
      </c>
      <c r="B442" s="25" t="s">
        <v>944</v>
      </c>
      <c r="C442" s="25" t="s">
        <v>365</v>
      </c>
      <c r="D442" s="25" t="s">
        <v>1492</v>
      </c>
      <c r="E442" s="24">
        <v>2.0</v>
      </c>
      <c r="F442" s="30">
        <v>44986.0</v>
      </c>
      <c r="G442" s="25" t="s">
        <v>187</v>
      </c>
      <c r="H442" s="25" t="s">
        <v>1493</v>
      </c>
    </row>
    <row r="443" ht="15.75" customHeight="1">
      <c r="A443" s="27" t="s">
        <v>1933</v>
      </c>
      <c r="B443" s="27" t="s">
        <v>944</v>
      </c>
      <c r="C443" s="27" t="s">
        <v>374</v>
      </c>
      <c r="D443" s="27" t="s">
        <v>1489</v>
      </c>
      <c r="E443" s="26">
        <v>4.3</v>
      </c>
      <c r="F443" s="33">
        <v>45908.0</v>
      </c>
      <c r="G443" s="27" t="s">
        <v>187</v>
      </c>
      <c r="H443" s="27" t="s">
        <v>1496</v>
      </c>
    </row>
    <row r="444" ht="15.75" customHeight="1">
      <c r="A444" s="25" t="s">
        <v>1934</v>
      </c>
      <c r="B444" s="25" t="s">
        <v>950</v>
      </c>
      <c r="C444" s="25" t="s">
        <v>246</v>
      </c>
      <c r="D444" s="25" t="s">
        <v>1492</v>
      </c>
      <c r="E444" s="24">
        <v>2.8</v>
      </c>
      <c r="F444" s="30">
        <v>45041.0</v>
      </c>
      <c r="G444" s="25" t="s">
        <v>181</v>
      </c>
      <c r="H444" s="25" t="s">
        <v>1487</v>
      </c>
    </row>
    <row r="445" ht="15.75" customHeight="1">
      <c r="A445" s="27" t="s">
        <v>1935</v>
      </c>
      <c r="B445" s="27" t="s">
        <v>950</v>
      </c>
      <c r="C445" s="27" t="s">
        <v>301</v>
      </c>
      <c r="D445" s="27" t="s">
        <v>1495</v>
      </c>
      <c r="E445" s="26">
        <v>4.5</v>
      </c>
      <c r="F445" s="33">
        <v>45573.0</v>
      </c>
      <c r="G445" s="27" t="s">
        <v>187</v>
      </c>
      <c r="H445" s="27" t="s">
        <v>1487</v>
      </c>
    </row>
    <row r="446" ht="15.75" customHeight="1">
      <c r="A446" s="25" t="s">
        <v>1936</v>
      </c>
      <c r="B446" s="25" t="s">
        <v>950</v>
      </c>
      <c r="C446" s="25" t="s">
        <v>370</v>
      </c>
      <c r="D446" s="25" t="s">
        <v>1495</v>
      </c>
      <c r="E446" s="24">
        <v>1.6</v>
      </c>
      <c r="F446" s="30">
        <v>45606.0</v>
      </c>
      <c r="G446" s="25" t="s">
        <v>187</v>
      </c>
      <c r="H446" s="25" t="s">
        <v>1496</v>
      </c>
    </row>
    <row r="447" ht="15.75" customHeight="1">
      <c r="A447" s="27" t="s">
        <v>1937</v>
      </c>
      <c r="B447" s="27" t="s">
        <v>950</v>
      </c>
      <c r="C447" s="27" t="s">
        <v>325</v>
      </c>
      <c r="D447" s="27" t="s">
        <v>1489</v>
      </c>
      <c r="E447" s="26">
        <v>1.3</v>
      </c>
      <c r="F447" s="33">
        <v>44990.0</v>
      </c>
      <c r="G447" s="27" t="s">
        <v>187</v>
      </c>
      <c r="H447" s="27" t="s">
        <v>1496</v>
      </c>
    </row>
    <row r="448" ht="15.75" customHeight="1">
      <c r="A448" s="25" t="s">
        <v>1938</v>
      </c>
      <c r="B448" s="25" t="s">
        <v>950</v>
      </c>
      <c r="C448" s="25" t="s">
        <v>333</v>
      </c>
      <c r="D448" s="25" t="s">
        <v>1486</v>
      </c>
      <c r="E448" s="24">
        <v>3.9</v>
      </c>
      <c r="F448" s="30">
        <v>45266.0</v>
      </c>
      <c r="G448" s="25" t="s">
        <v>187</v>
      </c>
      <c r="H448" s="25" t="s">
        <v>1487</v>
      </c>
    </row>
    <row r="449" ht="15.75" customHeight="1">
      <c r="A449" s="27" t="s">
        <v>1939</v>
      </c>
      <c r="B449" s="27" t="s">
        <v>950</v>
      </c>
      <c r="C449" s="27" t="s">
        <v>359</v>
      </c>
      <c r="D449" s="27" t="s">
        <v>1492</v>
      </c>
      <c r="E449" s="26">
        <v>1.5</v>
      </c>
      <c r="F449" s="33">
        <v>45166.0</v>
      </c>
      <c r="G449" s="27" t="s">
        <v>187</v>
      </c>
      <c r="H449" s="27" t="s">
        <v>1496</v>
      </c>
    </row>
    <row r="450" ht="15.75" customHeight="1">
      <c r="A450" s="25" t="s">
        <v>1940</v>
      </c>
      <c r="B450" s="25" t="s">
        <v>950</v>
      </c>
      <c r="C450" s="25" t="s">
        <v>374</v>
      </c>
      <c r="D450" s="25" t="s">
        <v>1492</v>
      </c>
      <c r="E450" s="24">
        <v>2.2</v>
      </c>
      <c r="F450" s="30">
        <v>44991.0</v>
      </c>
      <c r="G450" s="25" t="s">
        <v>187</v>
      </c>
      <c r="H450" s="25" t="s">
        <v>1496</v>
      </c>
    </row>
    <row r="451" ht="15.75" customHeight="1">
      <c r="A451" s="27" t="s">
        <v>1941</v>
      </c>
      <c r="B451" s="27" t="s">
        <v>957</v>
      </c>
      <c r="C451" s="27" t="s">
        <v>270</v>
      </c>
      <c r="D451" s="27" t="s">
        <v>1489</v>
      </c>
      <c r="E451" s="26">
        <v>3.2</v>
      </c>
      <c r="F451" s="33">
        <v>45340.0</v>
      </c>
      <c r="G451" s="27" t="s">
        <v>181</v>
      </c>
      <c r="H451" s="27" t="s">
        <v>1493</v>
      </c>
    </row>
    <row r="452" ht="15.75" customHeight="1">
      <c r="A452" s="25" t="s">
        <v>1942</v>
      </c>
      <c r="B452" s="25" t="s">
        <v>957</v>
      </c>
      <c r="C452" s="25" t="s">
        <v>329</v>
      </c>
      <c r="D452" s="25" t="s">
        <v>1495</v>
      </c>
      <c r="E452" s="24">
        <v>0.6</v>
      </c>
      <c r="F452" s="30">
        <v>45915.0</v>
      </c>
      <c r="G452" s="25" t="s">
        <v>187</v>
      </c>
      <c r="H452" s="25" t="s">
        <v>1487</v>
      </c>
    </row>
    <row r="453" ht="15.75" customHeight="1">
      <c r="A453" s="27" t="s">
        <v>1943</v>
      </c>
      <c r="B453" s="27" t="s">
        <v>957</v>
      </c>
      <c r="C453" s="27" t="s">
        <v>284</v>
      </c>
      <c r="D453" s="27" t="s">
        <v>1489</v>
      </c>
      <c r="E453" s="26">
        <v>1.7</v>
      </c>
      <c r="F453" s="33">
        <v>45917.0</v>
      </c>
      <c r="G453" s="27" t="s">
        <v>187</v>
      </c>
      <c r="H453" s="27" t="s">
        <v>1487</v>
      </c>
    </row>
    <row r="454" ht="15.75" customHeight="1">
      <c r="A454" s="25" t="s">
        <v>1944</v>
      </c>
      <c r="B454" s="25" t="s">
        <v>957</v>
      </c>
      <c r="C454" s="25" t="s">
        <v>344</v>
      </c>
      <c r="D454" s="25" t="s">
        <v>1486</v>
      </c>
      <c r="E454" s="24">
        <v>1.6</v>
      </c>
      <c r="F454" s="30">
        <v>45597.0</v>
      </c>
      <c r="G454" s="25" t="s">
        <v>187</v>
      </c>
      <c r="H454" s="25" t="s">
        <v>1493</v>
      </c>
    </row>
    <row r="455" ht="15.75" customHeight="1">
      <c r="A455" s="27" t="s">
        <v>1945</v>
      </c>
      <c r="B455" s="27" t="s">
        <v>957</v>
      </c>
      <c r="C455" s="27" t="s">
        <v>370</v>
      </c>
      <c r="D455" s="27" t="s">
        <v>1492</v>
      </c>
      <c r="E455" s="26">
        <v>0.8</v>
      </c>
      <c r="F455" s="33">
        <v>45984.0</v>
      </c>
      <c r="G455" s="27" t="s">
        <v>187</v>
      </c>
      <c r="H455" s="27" t="s">
        <v>1487</v>
      </c>
    </row>
    <row r="456" ht="15.75" customHeight="1">
      <c r="A456" s="25" t="s">
        <v>1946</v>
      </c>
      <c r="B456" s="25" t="s">
        <v>963</v>
      </c>
      <c r="C456" s="25" t="s">
        <v>344</v>
      </c>
      <c r="D456" s="25" t="s">
        <v>1486</v>
      </c>
      <c r="E456" s="24">
        <v>3.6</v>
      </c>
      <c r="F456" s="30">
        <v>45105.0</v>
      </c>
      <c r="G456" s="25" t="s">
        <v>181</v>
      </c>
      <c r="H456" s="25" t="s">
        <v>1496</v>
      </c>
    </row>
    <row r="457" ht="15.75" customHeight="1">
      <c r="A457" s="27" t="s">
        <v>1947</v>
      </c>
      <c r="B457" s="27" t="s">
        <v>963</v>
      </c>
      <c r="C457" s="27" t="s">
        <v>253</v>
      </c>
      <c r="D457" s="27" t="s">
        <v>1495</v>
      </c>
      <c r="E457" s="26">
        <v>0.7</v>
      </c>
      <c r="F457" s="33">
        <v>45993.0</v>
      </c>
      <c r="G457" s="27" t="s">
        <v>187</v>
      </c>
      <c r="H457" s="27" t="s">
        <v>1487</v>
      </c>
    </row>
    <row r="458" ht="15.75" customHeight="1">
      <c r="A458" s="25" t="s">
        <v>1948</v>
      </c>
      <c r="B458" s="25" t="s">
        <v>963</v>
      </c>
      <c r="C458" s="25" t="s">
        <v>362</v>
      </c>
      <c r="D458" s="25" t="s">
        <v>1492</v>
      </c>
      <c r="E458" s="24">
        <v>0.6</v>
      </c>
      <c r="F458" s="30">
        <v>45566.0</v>
      </c>
      <c r="G458" s="25" t="s">
        <v>187</v>
      </c>
      <c r="H458" s="25" t="s">
        <v>1487</v>
      </c>
    </row>
    <row r="459" ht="15.75" customHeight="1">
      <c r="A459" s="27" t="s">
        <v>1949</v>
      </c>
      <c r="B459" s="27" t="s">
        <v>963</v>
      </c>
      <c r="C459" s="27" t="s">
        <v>333</v>
      </c>
      <c r="D459" s="27" t="s">
        <v>1486</v>
      </c>
      <c r="E459" s="26">
        <v>1.9</v>
      </c>
      <c r="F459" s="33">
        <v>45321.0</v>
      </c>
      <c r="G459" s="27" t="s">
        <v>187</v>
      </c>
      <c r="H459" s="27" t="s">
        <v>1496</v>
      </c>
    </row>
    <row r="460" ht="15.75" customHeight="1">
      <c r="A460" s="25" t="s">
        <v>1950</v>
      </c>
      <c r="B460" s="25" t="s">
        <v>963</v>
      </c>
      <c r="C460" s="25" t="s">
        <v>313</v>
      </c>
      <c r="D460" s="25" t="s">
        <v>1495</v>
      </c>
      <c r="E460" s="24">
        <v>1.9</v>
      </c>
      <c r="F460" s="30">
        <v>45830.0</v>
      </c>
      <c r="G460" s="25" t="s">
        <v>187</v>
      </c>
      <c r="H460" s="25" t="s">
        <v>1487</v>
      </c>
    </row>
    <row r="461" ht="15.75" customHeight="1">
      <c r="A461" s="27" t="s">
        <v>1951</v>
      </c>
      <c r="B461" s="27" t="s">
        <v>963</v>
      </c>
      <c r="C461" s="27" t="s">
        <v>365</v>
      </c>
      <c r="D461" s="27" t="s">
        <v>1489</v>
      </c>
      <c r="E461" s="26">
        <v>1.2</v>
      </c>
      <c r="F461" s="33">
        <v>45487.0</v>
      </c>
      <c r="G461" s="27" t="s">
        <v>187</v>
      </c>
      <c r="H461" s="27" t="s">
        <v>1493</v>
      </c>
    </row>
    <row r="462" ht="15.75" customHeight="1">
      <c r="A462" s="25" t="s">
        <v>1952</v>
      </c>
      <c r="B462" s="25" t="s">
        <v>969</v>
      </c>
      <c r="C462" s="25" t="s">
        <v>370</v>
      </c>
      <c r="D462" s="25" t="s">
        <v>1495</v>
      </c>
      <c r="E462" s="24">
        <v>0.9</v>
      </c>
      <c r="F462" s="30">
        <v>45507.0</v>
      </c>
      <c r="G462" s="25" t="s">
        <v>181</v>
      </c>
      <c r="H462" s="25" t="s">
        <v>1487</v>
      </c>
    </row>
    <row r="463" ht="15.75" customHeight="1">
      <c r="A463" s="27" t="s">
        <v>1953</v>
      </c>
      <c r="B463" s="27" t="s">
        <v>969</v>
      </c>
      <c r="C463" s="27" t="s">
        <v>298</v>
      </c>
      <c r="D463" s="27" t="s">
        <v>1495</v>
      </c>
      <c r="E463" s="26">
        <v>0.7</v>
      </c>
      <c r="F463" s="33">
        <v>45620.0</v>
      </c>
      <c r="G463" s="27" t="s">
        <v>187</v>
      </c>
      <c r="H463" s="27" t="s">
        <v>1487</v>
      </c>
    </row>
    <row r="464" ht="15.75" customHeight="1">
      <c r="A464" s="25" t="s">
        <v>1954</v>
      </c>
      <c r="B464" s="25" t="s">
        <v>969</v>
      </c>
      <c r="C464" s="25" t="s">
        <v>336</v>
      </c>
      <c r="D464" s="25" t="s">
        <v>1495</v>
      </c>
      <c r="E464" s="24">
        <v>0.8</v>
      </c>
      <c r="F464" s="30">
        <v>45891.0</v>
      </c>
      <c r="G464" s="25" t="s">
        <v>187</v>
      </c>
      <c r="H464" s="25" t="s">
        <v>1487</v>
      </c>
    </row>
    <row r="465" ht="15.75" customHeight="1">
      <c r="A465" s="27" t="s">
        <v>1955</v>
      </c>
      <c r="B465" s="27" t="s">
        <v>969</v>
      </c>
      <c r="C465" s="27" t="s">
        <v>321</v>
      </c>
      <c r="D465" s="27" t="s">
        <v>1489</v>
      </c>
      <c r="E465" s="26">
        <v>1.5</v>
      </c>
      <c r="F465" s="33">
        <v>45103.0</v>
      </c>
      <c r="G465" s="27" t="s">
        <v>187</v>
      </c>
      <c r="H465" s="27" t="s">
        <v>1496</v>
      </c>
    </row>
    <row r="466" ht="15.75" customHeight="1">
      <c r="A466" s="25" t="s">
        <v>1956</v>
      </c>
      <c r="B466" s="25" t="s">
        <v>969</v>
      </c>
      <c r="C466" s="25" t="s">
        <v>374</v>
      </c>
      <c r="D466" s="25" t="s">
        <v>1495</v>
      </c>
      <c r="E466" s="24">
        <v>2.3</v>
      </c>
      <c r="F466" s="30">
        <v>45840.0</v>
      </c>
      <c r="G466" s="25" t="s">
        <v>187</v>
      </c>
      <c r="H466" s="25" t="s">
        <v>1487</v>
      </c>
    </row>
    <row r="467" ht="15.75" customHeight="1">
      <c r="A467" s="27" t="s">
        <v>1957</v>
      </c>
      <c r="B467" s="27" t="s">
        <v>969</v>
      </c>
      <c r="C467" s="27" t="s">
        <v>291</v>
      </c>
      <c r="D467" s="27" t="s">
        <v>1495</v>
      </c>
      <c r="E467" s="26">
        <v>1.3</v>
      </c>
      <c r="F467" s="33">
        <v>45332.0</v>
      </c>
      <c r="G467" s="27" t="s">
        <v>187</v>
      </c>
      <c r="H467" s="27" t="s">
        <v>1487</v>
      </c>
    </row>
    <row r="468" ht="15.75" customHeight="1">
      <c r="A468" s="25" t="s">
        <v>1958</v>
      </c>
      <c r="B468" s="25" t="s">
        <v>969</v>
      </c>
      <c r="C468" s="25" t="s">
        <v>353</v>
      </c>
      <c r="D468" s="25" t="s">
        <v>1492</v>
      </c>
      <c r="E468" s="24">
        <v>2.5</v>
      </c>
      <c r="F468" s="30">
        <v>45087.0</v>
      </c>
      <c r="G468" s="25" t="s">
        <v>187</v>
      </c>
      <c r="H468" s="25" t="s">
        <v>1496</v>
      </c>
    </row>
    <row r="469" ht="15.75" customHeight="1">
      <c r="A469" s="27" t="s">
        <v>1959</v>
      </c>
      <c r="B469" s="27" t="s">
        <v>976</v>
      </c>
      <c r="C469" s="27" t="s">
        <v>370</v>
      </c>
      <c r="D469" s="27" t="s">
        <v>1495</v>
      </c>
      <c r="E469" s="26">
        <v>1.3</v>
      </c>
      <c r="F469" s="33">
        <v>45455.0</v>
      </c>
      <c r="G469" s="27" t="s">
        <v>181</v>
      </c>
      <c r="H469" s="27" t="s">
        <v>1496</v>
      </c>
    </row>
    <row r="470" ht="15.75" customHeight="1">
      <c r="A470" s="25" t="s">
        <v>1960</v>
      </c>
      <c r="B470" s="25" t="s">
        <v>976</v>
      </c>
      <c r="C470" s="25" t="s">
        <v>356</v>
      </c>
      <c r="D470" s="25" t="s">
        <v>1495</v>
      </c>
      <c r="E470" s="24">
        <v>2.9</v>
      </c>
      <c r="F470" s="30">
        <v>45603.0</v>
      </c>
      <c r="G470" s="25" t="s">
        <v>187</v>
      </c>
      <c r="H470" s="25" t="s">
        <v>1496</v>
      </c>
    </row>
    <row r="471" ht="15.75" customHeight="1">
      <c r="A471" s="27" t="s">
        <v>1961</v>
      </c>
      <c r="B471" s="27" t="s">
        <v>976</v>
      </c>
      <c r="C471" s="27" t="s">
        <v>309</v>
      </c>
      <c r="D471" s="27" t="s">
        <v>1495</v>
      </c>
      <c r="E471" s="26">
        <v>0.6</v>
      </c>
      <c r="F471" s="33">
        <v>45900.0</v>
      </c>
      <c r="G471" s="27" t="s">
        <v>187</v>
      </c>
      <c r="H471" s="27" t="s">
        <v>1493</v>
      </c>
    </row>
    <row r="472" ht="15.75" customHeight="1">
      <c r="A472" s="25" t="s">
        <v>1962</v>
      </c>
      <c r="B472" s="25" t="s">
        <v>976</v>
      </c>
      <c r="C472" s="25" t="s">
        <v>333</v>
      </c>
      <c r="D472" s="25" t="s">
        <v>1495</v>
      </c>
      <c r="E472" s="24">
        <v>2.1</v>
      </c>
      <c r="F472" s="30">
        <v>45276.0</v>
      </c>
      <c r="G472" s="25" t="s">
        <v>187</v>
      </c>
      <c r="H472" s="25" t="s">
        <v>1496</v>
      </c>
    </row>
    <row r="473" ht="15.75" customHeight="1">
      <c r="A473" s="27" t="s">
        <v>1963</v>
      </c>
      <c r="B473" s="27" t="s">
        <v>976</v>
      </c>
      <c r="C473" s="27" t="s">
        <v>280</v>
      </c>
      <c r="D473" s="27" t="s">
        <v>1492</v>
      </c>
      <c r="E473" s="26">
        <v>2.6</v>
      </c>
      <c r="F473" s="33">
        <v>45187.0</v>
      </c>
      <c r="G473" s="27" t="s">
        <v>187</v>
      </c>
      <c r="H473" s="27" t="s">
        <v>1487</v>
      </c>
    </row>
    <row r="474" ht="15.75" customHeight="1">
      <c r="A474" s="25" t="s">
        <v>1964</v>
      </c>
      <c r="B474" s="25" t="s">
        <v>976</v>
      </c>
      <c r="C474" s="25" t="s">
        <v>321</v>
      </c>
      <c r="D474" s="25" t="s">
        <v>1489</v>
      </c>
      <c r="E474" s="24">
        <v>3.4</v>
      </c>
      <c r="F474" s="30">
        <v>45146.0</v>
      </c>
      <c r="G474" s="25" t="s">
        <v>187</v>
      </c>
      <c r="H474" s="25" t="s">
        <v>1496</v>
      </c>
    </row>
    <row r="475" ht="15.75" customHeight="1">
      <c r="A475" s="27" t="s">
        <v>1965</v>
      </c>
      <c r="B475" s="27" t="s">
        <v>976</v>
      </c>
      <c r="C475" s="27" t="s">
        <v>238</v>
      </c>
      <c r="D475" s="27" t="s">
        <v>1492</v>
      </c>
      <c r="E475" s="26">
        <v>0.7</v>
      </c>
      <c r="F475" s="33">
        <v>45545.0</v>
      </c>
      <c r="G475" s="27" t="s">
        <v>187</v>
      </c>
      <c r="H475" s="27" t="s">
        <v>1487</v>
      </c>
    </row>
    <row r="476" ht="15.75" customHeight="1">
      <c r="A476" s="25" t="s">
        <v>1966</v>
      </c>
      <c r="B476" s="25" t="s">
        <v>983</v>
      </c>
      <c r="C476" s="25" t="s">
        <v>370</v>
      </c>
      <c r="D476" s="25" t="s">
        <v>1495</v>
      </c>
      <c r="E476" s="24">
        <v>5.0</v>
      </c>
      <c r="F476" s="30">
        <v>45809.0</v>
      </c>
      <c r="G476" s="25" t="s">
        <v>181</v>
      </c>
      <c r="H476" s="25" t="s">
        <v>1496</v>
      </c>
    </row>
    <row r="477" ht="15.75" customHeight="1">
      <c r="A477" s="27" t="s">
        <v>1967</v>
      </c>
      <c r="B477" s="27" t="s">
        <v>983</v>
      </c>
      <c r="C477" s="27" t="s">
        <v>298</v>
      </c>
      <c r="D477" s="27" t="s">
        <v>1492</v>
      </c>
      <c r="E477" s="26">
        <v>2.4</v>
      </c>
      <c r="F477" s="33">
        <v>45410.0</v>
      </c>
      <c r="G477" s="27" t="s">
        <v>187</v>
      </c>
      <c r="H477" s="27" t="s">
        <v>1493</v>
      </c>
    </row>
    <row r="478" ht="15.75" customHeight="1">
      <c r="A478" s="25" t="s">
        <v>1968</v>
      </c>
      <c r="B478" s="25" t="s">
        <v>983</v>
      </c>
      <c r="C478" s="25" t="s">
        <v>325</v>
      </c>
      <c r="D478" s="25" t="s">
        <v>1492</v>
      </c>
      <c r="E478" s="24">
        <v>0.9</v>
      </c>
      <c r="F478" s="30">
        <v>45923.0</v>
      </c>
      <c r="G478" s="25" t="s">
        <v>187</v>
      </c>
      <c r="H478" s="25" t="s">
        <v>1493</v>
      </c>
    </row>
    <row r="479" ht="15.75" customHeight="1">
      <c r="A479" s="27" t="s">
        <v>1969</v>
      </c>
      <c r="B479" s="27" t="s">
        <v>983</v>
      </c>
      <c r="C479" s="27" t="s">
        <v>336</v>
      </c>
      <c r="D479" s="27" t="s">
        <v>1492</v>
      </c>
      <c r="E479" s="26">
        <v>3.0</v>
      </c>
      <c r="F479" s="33">
        <v>45126.0</v>
      </c>
      <c r="G479" s="27" t="s">
        <v>187</v>
      </c>
      <c r="H479" s="27" t="s">
        <v>1496</v>
      </c>
    </row>
    <row r="480" ht="15.75" customHeight="1">
      <c r="A480" s="25" t="s">
        <v>1970</v>
      </c>
      <c r="B480" s="25" t="s">
        <v>991</v>
      </c>
      <c r="C480" s="25" t="s">
        <v>370</v>
      </c>
      <c r="D480" s="25" t="s">
        <v>1492</v>
      </c>
      <c r="E480" s="24">
        <v>0.8</v>
      </c>
      <c r="F480" s="30">
        <v>45372.0</v>
      </c>
      <c r="G480" s="25" t="s">
        <v>181</v>
      </c>
      <c r="H480" s="25" t="s">
        <v>1493</v>
      </c>
    </row>
    <row r="481" ht="15.75" customHeight="1">
      <c r="A481" s="27" t="s">
        <v>1971</v>
      </c>
      <c r="B481" s="27" t="s">
        <v>991</v>
      </c>
      <c r="C481" s="27" t="s">
        <v>362</v>
      </c>
      <c r="D481" s="27" t="s">
        <v>1486</v>
      </c>
      <c r="E481" s="26">
        <v>4.6</v>
      </c>
      <c r="F481" s="33">
        <v>44927.0</v>
      </c>
      <c r="G481" s="27" t="s">
        <v>187</v>
      </c>
      <c r="H481" s="27" t="s">
        <v>1493</v>
      </c>
    </row>
    <row r="482" ht="15.75" customHeight="1">
      <c r="A482" s="25" t="s">
        <v>1972</v>
      </c>
      <c r="B482" s="25" t="s">
        <v>991</v>
      </c>
      <c r="C482" s="25" t="s">
        <v>336</v>
      </c>
      <c r="D482" s="25" t="s">
        <v>1492</v>
      </c>
      <c r="E482" s="24">
        <v>2.5</v>
      </c>
      <c r="F482" s="30">
        <v>45523.0</v>
      </c>
      <c r="G482" s="25" t="s">
        <v>187</v>
      </c>
      <c r="H482" s="25" t="s">
        <v>1496</v>
      </c>
    </row>
    <row r="483" ht="15.75" customHeight="1">
      <c r="A483" s="27" t="s">
        <v>1973</v>
      </c>
      <c r="B483" s="27" t="s">
        <v>991</v>
      </c>
      <c r="C483" s="27" t="s">
        <v>321</v>
      </c>
      <c r="D483" s="27" t="s">
        <v>1492</v>
      </c>
      <c r="E483" s="26">
        <v>2.5</v>
      </c>
      <c r="F483" s="33">
        <v>45348.0</v>
      </c>
      <c r="G483" s="27" t="s">
        <v>187</v>
      </c>
      <c r="H483" s="27" t="s">
        <v>1487</v>
      </c>
    </row>
    <row r="484" ht="15.75" customHeight="1">
      <c r="A484" s="25" t="s">
        <v>1974</v>
      </c>
      <c r="B484" s="25" t="s">
        <v>991</v>
      </c>
      <c r="C484" s="25" t="s">
        <v>238</v>
      </c>
      <c r="D484" s="25" t="s">
        <v>1486</v>
      </c>
      <c r="E484" s="24">
        <v>1.8</v>
      </c>
      <c r="F484" s="30">
        <v>45550.0</v>
      </c>
      <c r="G484" s="25" t="s">
        <v>187</v>
      </c>
      <c r="H484" s="25" t="s">
        <v>1496</v>
      </c>
    </row>
    <row r="485" ht="15.75" customHeight="1">
      <c r="A485" s="27" t="s">
        <v>1975</v>
      </c>
      <c r="B485" s="27" t="s">
        <v>991</v>
      </c>
      <c r="C485" s="27" t="s">
        <v>374</v>
      </c>
      <c r="D485" s="27" t="s">
        <v>1492</v>
      </c>
      <c r="E485" s="26">
        <v>4.6</v>
      </c>
      <c r="F485" s="33">
        <v>45109.0</v>
      </c>
      <c r="G485" s="27" t="s">
        <v>187</v>
      </c>
      <c r="H485" s="27" t="s">
        <v>1487</v>
      </c>
    </row>
    <row r="486" ht="15.75" customHeight="1">
      <c r="A486" s="25" t="s">
        <v>1976</v>
      </c>
      <c r="B486" s="25" t="s">
        <v>991</v>
      </c>
      <c r="C486" s="25" t="s">
        <v>273</v>
      </c>
      <c r="D486" s="25" t="s">
        <v>1489</v>
      </c>
      <c r="E486" s="24">
        <v>4.9</v>
      </c>
      <c r="F486" s="30">
        <v>45754.0</v>
      </c>
      <c r="G486" s="25" t="s">
        <v>187</v>
      </c>
      <c r="H486" s="25" t="s">
        <v>1493</v>
      </c>
    </row>
    <row r="487" ht="15.75" customHeight="1">
      <c r="A487" s="27" t="s">
        <v>1977</v>
      </c>
      <c r="B487" s="27" t="s">
        <v>998</v>
      </c>
      <c r="C487" s="27" t="s">
        <v>229</v>
      </c>
      <c r="D487" s="27" t="s">
        <v>1495</v>
      </c>
      <c r="E487" s="26">
        <v>3.7</v>
      </c>
      <c r="F487" s="33">
        <v>45734.0</v>
      </c>
      <c r="G487" s="27" t="s">
        <v>181</v>
      </c>
      <c r="H487" s="27" t="s">
        <v>1487</v>
      </c>
    </row>
    <row r="488" ht="15.75" customHeight="1">
      <c r="A488" s="25" t="s">
        <v>1978</v>
      </c>
      <c r="B488" s="25" t="s">
        <v>998</v>
      </c>
      <c r="C488" s="25" t="s">
        <v>270</v>
      </c>
      <c r="D488" s="25" t="s">
        <v>1495</v>
      </c>
      <c r="E488" s="24">
        <v>2.2</v>
      </c>
      <c r="F488" s="30">
        <v>45708.0</v>
      </c>
      <c r="G488" s="25" t="s">
        <v>187</v>
      </c>
      <c r="H488" s="25" t="s">
        <v>1496</v>
      </c>
    </row>
    <row r="489" ht="15.75" customHeight="1">
      <c r="A489" s="27" t="s">
        <v>1979</v>
      </c>
      <c r="B489" s="27" t="s">
        <v>998</v>
      </c>
      <c r="C489" s="27" t="s">
        <v>340</v>
      </c>
      <c r="D489" s="27" t="s">
        <v>1495</v>
      </c>
      <c r="E489" s="26">
        <v>3.5</v>
      </c>
      <c r="F489" s="33">
        <v>45899.0</v>
      </c>
      <c r="G489" s="27" t="s">
        <v>187</v>
      </c>
      <c r="H489" s="27" t="s">
        <v>1493</v>
      </c>
    </row>
    <row r="490" ht="15.75" customHeight="1">
      <c r="A490" s="25" t="s">
        <v>1980</v>
      </c>
      <c r="B490" s="25" t="s">
        <v>998</v>
      </c>
      <c r="C490" s="25" t="s">
        <v>370</v>
      </c>
      <c r="D490" s="25" t="s">
        <v>1489</v>
      </c>
      <c r="E490" s="24">
        <v>2.2</v>
      </c>
      <c r="F490" s="30">
        <v>45664.0</v>
      </c>
      <c r="G490" s="25" t="s">
        <v>187</v>
      </c>
      <c r="H490" s="25" t="s">
        <v>1496</v>
      </c>
    </row>
    <row r="491" ht="15.75" customHeight="1">
      <c r="A491" s="27" t="s">
        <v>1981</v>
      </c>
      <c r="B491" s="27" t="s">
        <v>1004</v>
      </c>
      <c r="C491" s="27" t="s">
        <v>305</v>
      </c>
      <c r="D491" s="27" t="s">
        <v>1492</v>
      </c>
      <c r="E491" s="26">
        <v>2.2</v>
      </c>
      <c r="F491" s="33">
        <v>45821.0</v>
      </c>
      <c r="G491" s="27" t="s">
        <v>181</v>
      </c>
      <c r="H491" s="27" t="s">
        <v>1493</v>
      </c>
    </row>
    <row r="492" ht="15.75" customHeight="1">
      <c r="A492" s="25" t="s">
        <v>1982</v>
      </c>
      <c r="B492" s="25" t="s">
        <v>1004</v>
      </c>
      <c r="C492" s="25" t="s">
        <v>246</v>
      </c>
      <c r="D492" s="25" t="s">
        <v>1489</v>
      </c>
      <c r="E492" s="24">
        <v>2.7</v>
      </c>
      <c r="F492" s="30">
        <v>45778.0</v>
      </c>
      <c r="G492" s="25" t="s">
        <v>187</v>
      </c>
      <c r="H492" s="25" t="s">
        <v>1496</v>
      </c>
    </row>
    <row r="493" ht="15.75" customHeight="1">
      <c r="A493" s="27" t="s">
        <v>1983</v>
      </c>
      <c r="B493" s="27" t="s">
        <v>1004</v>
      </c>
      <c r="C493" s="27" t="s">
        <v>325</v>
      </c>
      <c r="D493" s="27" t="s">
        <v>1486</v>
      </c>
      <c r="E493" s="26">
        <v>2.9</v>
      </c>
      <c r="F493" s="33">
        <v>45798.0</v>
      </c>
      <c r="G493" s="27" t="s">
        <v>187</v>
      </c>
      <c r="H493" s="27" t="s">
        <v>1487</v>
      </c>
    </row>
    <row r="494" ht="15.75" customHeight="1">
      <c r="A494" s="25" t="s">
        <v>1984</v>
      </c>
      <c r="B494" s="25" t="s">
        <v>1004</v>
      </c>
      <c r="C494" s="25" t="s">
        <v>348</v>
      </c>
      <c r="D494" s="25" t="s">
        <v>1489</v>
      </c>
      <c r="E494" s="24">
        <v>2.3</v>
      </c>
      <c r="F494" s="30">
        <v>45848.0</v>
      </c>
      <c r="G494" s="25" t="s">
        <v>187</v>
      </c>
      <c r="H494" s="25" t="s">
        <v>1496</v>
      </c>
    </row>
    <row r="495" ht="15.75" customHeight="1">
      <c r="A495" s="27" t="s">
        <v>1985</v>
      </c>
      <c r="B495" s="27" t="s">
        <v>1004</v>
      </c>
      <c r="C495" s="27" t="s">
        <v>365</v>
      </c>
      <c r="D495" s="27" t="s">
        <v>1495</v>
      </c>
      <c r="E495" s="26">
        <v>1.2</v>
      </c>
      <c r="F495" s="33">
        <v>44942.0</v>
      </c>
      <c r="G495" s="27" t="s">
        <v>187</v>
      </c>
      <c r="H495" s="27" t="s">
        <v>1487</v>
      </c>
    </row>
    <row r="496" ht="15.75" customHeight="1">
      <c r="A496" s="25" t="s">
        <v>1986</v>
      </c>
      <c r="B496" s="25" t="s">
        <v>1011</v>
      </c>
      <c r="C496" s="25" t="s">
        <v>260</v>
      </c>
      <c r="D496" s="25" t="s">
        <v>1492</v>
      </c>
      <c r="E496" s="24">
        <v>4.4</v>
      </c>
      <c r="F496" s="30">
        <v>45158.0</v>
      </c>
      <c r="G496" s="25" t="s">
        <v>181</v>
      </c>
      <c r="H496" s="25" t="s">
        <v>1487</v>
      </c>
    </row>
    <row r="497" ht="15.75" customHeight="1">
      <c r="A497" s="27" t="s">
        <v>1987</v>
      </c>
      <c r="B497" s="27" t="s">
        <v>1011</v>
      </c>
      <c r="C497" s="27" t="s">
        <v>288</v>
      </c>
      <c r="D497" s="27" t="s">
        <v>1495</v>
      </c>
      <c r="E497" s="26">
        <v>4.3</v>
      </c>
      <c r="F497" s="33">
        <v>45217.0</v>
      </c>
      <c r="G497" s="27" t="s">
        <v>187</v>
      </c>
      <c r="H497" s="27" t="s">
        <v>1487</v>
      </c>
    </row>
    <row r="498" ht="15.75" customHeight="1">
      <c r="A498" s="25" t="s">
        <v>1988</v>
      </c>
      <c r="B498" s="25" t="s">
        <v>1011</v>
      </c>
      <c r="C498" s="25" t="s">
        <v>370</v>
      </c>
      <c r="D498" s="25" t="s">
        <v>1492</v>
      </c>
      <c r="E498" s="24">
        <v>5.9</v>
      </c>
      <c r="F498" s="30">
        <v>45499.0</v>
      </c>
      <c r="G498" s="25" t="s">
        <v>187</v>
      </c>
      <c r="H498" s="25" t="s">
        <v>1496</v>
      </c>
    </row>
    <row r="499" ht="15.75" customHeight="1">
      <c r="A499" s="27" t="s">
        <v>1989</v>
      </c>
      <c r="B499" s="27" t="s">
        <v>1011</v>
      </c>
      <c r="C499" s="27" t="s">
        <v>362</v>
      </c>
      <c r="D499" s="27" t="s">
        <v>1495</v>
      </c>
      <c r="E499" s="26">
        <v>3.4</v>
      </c>
      <c r="F499" s="33">
        <v>45108.0</v>
      </c>
      <c r="G499" s="27" t="s">
        <v>187</v>
      </c>
      <c r="H499" s="27" t="s">
        <v>1493</v>
      </c>
    </row>
    <row r="500" ht="15.75" customHeight="1">
      <c r="A500" s="25" t="s">
        <v>1990</v>
      </c>
      <c r="B500" s="25" t="s">
        <v>1018</v>
      </c>
      <c r="C500" s="25" t="s">
        <v>305</v>
      </c>
      <c r="D500" s="25" t="s">
        <v>1495</v>
      </c>
      <c r="E500" s="24">
        <v>0.5</v>
      </c>
      <c r="F500" s="30">
        <v>45856.0</v>
      </c>
      <c r="G500" s="25" t="s">
        <v>181</v>
      </c>
      <c r="H500" s="25" t="s">
        <v>1487</v>
      </c>
    </row>
    <row r="501" ht="15.75" customHeight="1">
      <c r="A501" s="27" t="s">
        <v>1991</v>
      </c>
      <c r="B501" s="27" t="s">
        <v>1018</v>
      </c>
      <c r="C501" s="27" t="s">
        <v>344</v>
      </c>
      <c r="D501" s="27" t="s">
        <v>1486</v>
      </c>
      <c r="E501" s="26">
        <v>2.5</v>
      </c>
      <c r="F501" s="33">
        <v>45605.0</v>
      </c>
      <c r="G501" s="27" t="s">
        <v>187</v>
      </c>
      <c r="H501" s="27" t="s">
        <v>1496</v>
      </c>
    </row>
    <row r="502" ht="15.75" customHeight="1">
      <c r="A502" s="25" t="s">
        <v>1992</v>
      </c>
      <c r="B502" s="25" t="s">
        <v>1018</v>
      </c>
      <c r="C502" s="25" t="s">
        <v>301</v>
      </c>
      <c r="D502" s="25" t="s">
        <v>1495</v>
      </c>
      <c r="E502" s="24">
        <v>3.9</v>
      </c>
      <c r="F502" s="30">
        <v>45530.0</v>
      </c>
      <c r="G502" s="25" t="s">
        <v>187</v>
      </c>
      <c r="H502" s="25" t="s">
        <v>1496</v>
      </c>
    </row>
    <row r="503" ht="15.75" customHeight="1">
      <c r="A503" s="27" t="s">
        <v>1993</v>
      </c>
      <c r="B503" s="27" t="s">
        <v>1018</v>
      </c>
      <c r="C503" s="27" t="s">
        <v>356</v>
      </c>
      <c r="D503" s="27" t="s">
        <v>1489</v>
      </c>
      <c r="E503" s="26">
        <v>2.9</v>
      </c>
      <c r="F503" s="33">
        <v>45549.0</v>
      </c>
      <c r="G503" s="27" t="s">
        <v>187</v>
      </c>
      <c r="H503" s="27" t="s">
        <v>1487</v>
      </c>
    </row>
    <row r="504" ht="15.75" customHeight="1">
      <c r="A504" s="25" t="s">
        <v>1994</v>
      </c>
      <c r="B504" s="25" t="s">
        <v>1018</v>
      </c>
      <c r="C504" s="25" t="s">
        <v>336</v>
      </c>
      <c r="D504" s="25" t="s">
        <v>1492</v>
      </c>
      <c r="E504" s="24">
        <v>1.4</v>
      </c>
      <c r="F504" s="30">
        <v>45896.0</v>
      </c>
      <c r="G504" s="25" t="s">
        <v>187</v>
      </c>
      <c r="H504" s="25" t="s">
        <v>1487</v>
      </c>
    </row>
    <row r="505" ht="15.75" customHeight="1">
      <c r="A505" s="27" t="s">
        <v>1995</v>
      </c>
      <c r="B505" s="27" t="s">
        <v>1018</v>
      </c>
      <c r="C505" s="27" t="s">
        <v>313</v>
      </c>
      <c r="D505" s="27" t="s">
        <v>1489</v>
      </c>
      <c r="E505" s="26">
        <v>0.7</v>
      </c>
      <c r="F505" s="33">
        <v>45524.0</v>
      </c>
      <c r="G505" s="27" t="s">
        <v>187</v>
      </c>
      <c r="H505" s="27" t="s">
        <v>1487</v>
      </c>
    </row>
    <row r="506" ht="15.75" customHeight="1">
      <c r="A506" s="25" t="s">
        <v>1996</v>
      </c>
      <c r="B506" s="25" t="s">
        <v>1024</v>
      </c>
      <c r="C506" s="25" t="s">
        <v>284</v>
      </c>
      <c r="D506" s="25" t="s">
        <v>1489</v>
      </c>
      <c r="E506" s="24">
        <v>1.2</v>
      </c>
      <c r="F506" s="30">
        <v>45453.0</v>
      </c>
      <c r="G506" s="25" t="s">
        <v>181</v>
      </c>
      <c r="H506" s="25" t="s">
        <v>1493</v>
      </c>
    </row>
    <row r="507" ht="15.75" customHeight="1">
      <c r="A507" s="27" t="s">
        <v>1997</v>
      </c>
      <c r="B507" s="27" t="s">
        <v>1024</v>
      </c>
      <c r="C507" s="27" t="s">
        <v>370</v>
      </c>
      <c r="D507" s="27" t="s">
        <v>1492</v>
      </c>
      <c r="E507" s="26">
        <v>2.0</v>
      </c>
      <c r="F507" s="33">
        <v>45236.0</v>
      </c>
      <c r="G507" s="27" t="s">
        <v>187</v>
      </c>
      <c r="H507" s="27" t="s">
        <v>1487</v>
      </c>
    </row>
    <row r="508" ht="15.75" customHeight="1">
      <c r="A508" s="25" t="s">
        <v>1998</v>
      </c>
      <c r="B508" s="25" t="s">
        <v>1024</v>
      </c>
      <c r="C508" s="25" t="s">
        <v>325</v>
      </c>
      <c r="D508" s="25" t="s">
        <v>1495</v>
      </c>
      <c r="E508" s="24">
        <v>2.5</v>
      </c>
      <c r="F508" s="30">
        <v>45462.0</v>
      </c>
      <c r="G508" s="25" t="s">
        <v>187</v>
      </c>
      <c r="H508" s="25" t="s">
        <v>1487</v>
      </c>
    </row>
    <row r="509" ht="15.75" customHeight="1">
      <c r="A509" s="27" t="s">
        <v>1999</v>
      </c>
      <c r="B509" s="27" t="s">
        <v>1024</v>
      </c>
      <c r="C509" s="27" t="s">
        <v>362</v>
      </c>
      <c r="D509" s="27" t="s">
        <v>1495</v>
      </c>
      <c r="E509" s="26">
        <v>1.0</v>
      </c>
      <c r="F509" s="33">
        <v>46007.0</v>
      </c>
      <c r="G509" s="27" t="s">
        <v>187</v>
      </c>
      <c r="H509" s="27" t="s">
        <v>1493</v>
      </c>
    </row>
    <row r="510" ht="15.75" customHeight="1">
      <c r="A510" s="25" t="s">
        <v>2000</v>
      </c>
      <c r="B510" s="25" t="s">
        <v>1024</v>
      </c>
      <c r="C510" s="25" t="s">
        <v>365</v>
      </c>
      <c r="D510" s="25" t="s">
        <v>1495</v>
      </c>
      <c r="E510" s="24">
        <v>0.7</v>
      </c>
      <c r="F510" s="30">
        <v>45224.0</v>
      </c>
      <c r="G510" s="25" t="s">
        <v>187</v>
      </c>
      <c r="H510" s="25" t="s">
        <v>1487</v>
      </c>
    </row>
    <row r="511" ht="15.75" customHeight="1">
      <c r="A511" s="27" t="s">
        <v>2001</v>
      </c>
      <c r="B511" s="27" t="s">
        <v>1024</v>
      </c>
      <c r="C511" s="27" t="s">
        <v>321</v>
      </c>
      <c r="D511" s="27" t="s">
        <v>1486</v>
      </c>
      <c r="E511" s="26">
        <v>0.9</v>
      </c>
      <c r="F511" s="33">
        <v>45942.0</v>
      </c>
      <c r="G511" s="27" t="s">
        <v>187</v>
      </c>
      <c r="H511" s="27" t="s">
        <v>1496</v>
      </c>
    </row>
    <row r="512" ht="15.75" customHeight="1">
      <c r="A512" s="25" t="s">
        <v>2002</v>
      </c>
      <c r="B512" s="25" t="s">
        <v>1030</v>
      </c>
      <c r="C512" s="25" t="s">
        <v>305</v>
      </c>
      <c r="D512" s="25" t="s">
        <v>1492</v>
      </c>
      <c r="E512" s="24">
        <v>4.7</v>
      </c>
      <c r="F512" s="30">
        <v>45164.0</v>
      </c>
      <c r="G512" s="25" t="s">
        <v>181</v>
      </c>
      <c r="H512" s="25" t="s">
        <v>1493</v>
      </c>
    </row>
    <row r="513" ht="15.75" customHeight="1">
      <c r="A513" s="27" t="s">
        <v>2003</v>
      </c>
      <c r="B513" s="27" t="s">
        <v>1030</v>
      </c>
      <c r="C513" s="27" t="s">
        <v>344</v>
      </c>
      <c r="D513" s="27" t="s">
        <v>1489</v>
      </c>
      <c r="E513" s="26">
        <v>2.7</v>
      </c>
      <c r="F513" s="33">
        <v>45544.0</v>
      </c>
      <c r="G513" s="27" t="s">
        <v>187</v>
      </c>
      <c r="H513" s="27" t="s">
        <v>1496</v>
      </c>
    </row>
    <row r="514" ht="15.75" customHeight="1">
      <c r="A514" s="25" t="s">
        <v>2004</v>
      </c>
      <c r="B514" s="25" t="s">
        <v>1030</v>
      </c>
      <c r="C514" s="25" t="s">
        <v>301</v>
      </c>
      <c r="D514" s="25" t="s">
        <v>1492</v>
      </c>
      <c r="E514" s="24">
        <v>4.6</v>
      </c>
      <c r="F514" s="30">
        <v>46017.0</v>
      </c>
      <c r="G514" s="25" t="s">
        <v>187</v>
      </c>
      <c r="H514" s="25" t="s">
        <v>1493</v>
      </c>
    </row>
    <row r="515" ht="15.75" customHeight="1">
      <c r="A515" s="27" t="s">
        <v>2005</v>
      </c>
      <c r="B515" s="27" t="s">
        <v>1030</v>
      </c>
      <c r="C515" s="27" t="s">
        <v>370</v>
      </c>
      <c r="D515" s="27" t="s">
        <v>1495</v>
      </c>
      <c r="E515" s="26">
        <v>4.4</v>
      </c>
      <c r="F515" s="33">
        <v>45898.0</v>
      </c>
      <c r="G515" s="27" t="s">
        <v>187</v>
      </c>
      <c r="H515" s="27" t="s">
        <v>1496</v>
      </c>
    </row>
    <row r="516" ht="15.75" customHeight="1">
      <c r="A516" s="25" t="s">
        <v>2006</v>
      </c>
      <c r="B516" s="25" t="s">
        <v>1037</v>
      </c>
      <c r="C516" s="25" t="s">
        <v>229</v>
      </c>
      <c r="D516" s="25" t="s">
        <v>1492</v>
      </c>
      <c r="E516" s="24">
        <v>0.7</v>
      </c>
      <c r="F516" s="30">
        <v>46015.0</v>
      </c>
      <c r="G516" s="25" t="s">
        <v>181</v>
      </c>
      <c r="H516" s="25" t="s">
        <v>1487</v>
      </c>
    </row>
    <row r="517" ht="15.75" customHeight="1">
      <c r="A517" s="27" t="s">
        <v>2007</v>
      </c>
      <c r="B517" s="27" t="s">
        <v>1037</v>
      </c>
      <c r="C517" s="27" t="s">
        <v>329</v>
      </c>
      <c r="D517" s="27" t="s">
        <v>1495</v>
      </c>
      <c r="E517" s="26">
        <v>4.3</v>
      </c>
      <c r="F517" s="33">
        <v>45485.0</v>
      </c>
      <c r="G517" s="27" t="s">
        <v>187</v>
      </c>
      <c r="H517" s="27" t="s">
        <v>1496</v>
      </c>
    </row>
    <row r="518" ht="15.75" customHeight="1">
      <c r="A518" s="25" t="s">
        <v>2008</v>
      </c>
      <c r="B518" s="25" t="s">
        <v>1037</v>
      </c>
      <c r="C518" s="25" t="s">
        <v>288</v>
      </c>
      <c r="D518" s="25" t="s">
        <v>1495</v>
      </c>
      <c r="E518" s="24">
        <v>4.1</v>
      </c>
      <c r="F518" s="30">
        <v>45449.0</v>
      </c>
      <c r="G518" s="25" t="s">
        <v>187</v>
      </c>
      <c r="H518" s="25" t="s">
        <v>1487</v>
      </c>
    </row>
    <row r="519" ht="15.75" customHeight="1">
      <c r="A519" s="27" t="s">
        <v>2009</v>
      </c>
      <c r="B519" s="27" t="s">
        <v>1037</v>
      </c>
      <c r="C519" s="27" t="s">
        <v>370</v>
      </c>
      <c r="D519" s="27" t="s">
        <v>1492</v>
      </c>
      <c r="E519" s="26">
        <v>2.6</v>
      </c>
      <c r="F519" s="33">
        <v>45422.0</v>
      </c>
      <c r="G519" s="27" t="s">
        <v>187</v>
      </c>
      <c r="H519" s="27" t="s">
        <v>1487</v>
      </c>
    </row>
    <row r="520" ht="15.75" customHeight="1">
      <c r="A520" s="25" t="s">
        <v>2010</v>
      </c>
      <c r="B520" s="25" t="s">
        <v>1037</v>
      </c>
      <c r="C520" s="25" t="s">
        <v>333</v>
      </c>
      <c r="D520" s="25" t="s">
        <v>1492</v>
      </c>
      <c r="E520" s="24">
        <v>4.0</v>
      </c>
      <c r="F520" s="30">
        <v>45991.0</v>
      </c>
      <c r="G520" s="25" t="s">
        <v>187</v>
      </c>
      <c r="H520" s="25" t="s">
        <v>1496</v>
      </c>
    </row>
    <row r="521" ht="15.75" customHeight="1">
      <c r="A521" s="27" t="s">
        <v>2011</v>
      </c>
      <c r="B521" s="27" t="s">
        <v>1037</v>
      </c>
      <c r="C521" s="27" t="s">
        <v>359</v>
      </c>
      <c r="D521" s="27" t="s">
        <v>1492</v>
      </c>
      <c r="E521" s="26">
        <v>5.0</v>
      </c>
      <c r="F521" s="33">
        <v>45568.0</v>
      </c>
      <c r="G521" s="27" t="s">
        <v>187</v>
      </c>
      <c r="H521" s="27" t="s">
        <v>1487</v>
      </c>
    </row>
    <row r="522" ht="15.75" customHeight="1">
      <c r="A522" s="25" t="s">
        <v>2012</v>
      </c>
      <c r="B522" s="25" t="s">
        <v>1037</v>
      </c>
      <c r="C522" s="25" t="s">
        <v>374</v>
      </c>
      <c r="D522" s="25" t="s">
        <v>1489</v>
      </c>
      <c r="E522" s="24">
        <v>0.5</v>
      </c>
      <c r="F522" s="30">
        <v>45066.0</v>
      </c>
      <c r="G522" s="25" t="s">
        <v>187</v>
      </c>
      <c r="H522" s="25" t="s">
        <v>1493</v>
      </c>
    </row>
    <row r="523" ht="15.75" customHeight="1">
      <c r="A523" s="27" t="s">
        <v>2013</v>
      </c>
      <c r="B523" s="27" t="s">
        <v>1037</v>
      </c>
      <c r="C523" s="27" t="s">
        <v>277</v>
      </c>
      <c r="D523" s="27" t="s">
        <v>1495</v>
      </c>
      <c r="E523" s="26">
        <v>2.9</v>
      </c>
      <c r="F523" s="33">
        <v>45840.0</v>
      </c>
      <c r="G523" s="27" t="s">
        <v>187</v>
      </c>
      <c r="H523" s="27" t="s">
        <v>1496</v>
      </c>
    </row>
    <row r="524" ht="15.75" customHeight="1">
      <c r="A524" s="25" t="s">
        <v>2014</v>
      </c>
      <c r="B524" s="25" t="s">
        <v>1043</v>
      </c>
      <c r="C524" s="25" t="s">
        <v>260</v>
      </c>
      <c r="D524" s="25" t="s">
        <v>1486</v>
      </c>
      <c r="E524" s="24">
        <v>2.8</v>
      </c>
      <c r="F524" s="30">
        <v>45371.0</v>
      </c>
      <c r="G524" s="25" t="s">
        <v>181</v>
      </c>
      <c r="H524" s="25" t="s">
        <v>1487</v>
      </c>
    </row>
    <row r="525" ht="15.75" customHeight="1">
      <c r="A525" s="27" t="s">
        <v>2015</v>
      </c>
      <c r="B525" s="27" t="s">
        <v>1043</v>
      </c>
      <c r="C525" s="27" t="s">
        <v>325</v>
      </c>
      <c r="D525" s="27" t="s">
        <v>1492</v>
      </c>
      <c r="E525" s="26">
        <v>3.0</v>
      </c>
      <c r="F525" s="33">
        <v>45172.0</v>
      </c>
      <c r="G525" s="27" t="s">
        <v>187</v>
      </c>
      <c r="H525" s="27" t="s">
        <v>1493</v>
      </c>
    </row>
    <row r="526" ht="15.75" customHeight="1">
      <c r="A526" s="25" t="s">
        <v>2016</v>
      </c>
      <c r="B526" s="25" t="s">
        <v>1043</v>
      </c>
      <c r="C526" s="25" t="s">
        <v>348</v>
      </c>
      <c r="D526" s="25" t="s">
        <v>1492</v>
      </c>
      <c r="E526" s="24">
        <v>1.0</v>
      </c>
      <c r="F526" s="30">
        <v>45305.0</v>
      </c>
      <c r="G526" s="25" t="s">
        <v>187</v>
      </c>
      <c r="H526" s="25" t="s">
        <v>1493</v>
      </c>
    </row>
    <row r="527" ht="15.75" customHeight="1">
      <c r="A527" s="27" t="s">
        <v>2017</v>
      </c>
      <c r="B527" s="27" t="s">
        <v>1043</v>
      </c>
      <c r="C527" s="27" t="s">
        <v>313</v>
      </c>
      <c r="D527" s="27" t="s">
        <v>1492</v>
      </c>
      <c r="E527" s="26">
        <v>1.4</v>
      </c>
      <c r="F527" s="33">
        <v>45883.0</v>
      </c>
      <c r="G527" s="27" t="s">
        <v>187</v>
      </c>
      <c r="H527" s="27" t="s">
        <v>1487</v>
      </c>
    </row>
    <row r="528" ht="15.75" customHeight="1">
      <c r="A528" s="25" t="s">
        <v>2018</v>
      </c>
      <c r="B528" s="25" t="s">
        <v>1049</v>
      </c>
      <c r="C528" s="25" t="s">
        <v>329</v>
      </c>
      <c r="D528" s="25" t="s">
        <v>1495</v>
      </c>
      <c r="E528" s="24">
        <v>0.8</v>
      </c>
      <c r="F528" s="30">
        <v>45722.0</v>
      </c>
      <c r="G528" s="25" t="s">
        <v>181</v>
      </c>
      <c r="H528" s="25" t="s">
        <v>1496</v>
      </c>
    </row>
    <row r="529" ht="15.75" customHeight="1">
      <c r="A529" s="27" t="s">
        <v>2019</v>
      </c>
      <c r="B529" s="27" t="s">
        <v>1049</v>
      </c>
      <c r="C529" s="27" t="s">
        <v>370</v>
      </c>
      <c r="D529" s="27" t="s">
        <v>1486</v>
      </c>
      <c r="E529" s="26">
        <v>1.7</v>
      </c>
      <c r="F529" s="33">
        <v>45469.0</v>
      </c>
      <c r="G529" s="27" t="s">
        <v>187</v>
      </c>
      <c r="H529" s="27" t="s">
        <v>1493</v>
      </c>
    </row>
    <row r="530" ht="15.75" customHeight="1">
      <c r="A530" s="25" t="s">
        <v>2020</v>
      </c>
      <c r="B530" s="25" t="s">
        <v>1049</v>
      </c>
      <c r="C530" s="25" t="s">
        <v>301</v>
      </c>
      <c r="D530" s="25" t="s">
        <v>1495</v>
      </c>
      <c r="E530" s="24">
        <v>2.7</v>
      </c>
      <c r="F530" s="30">
        <v>45337.0</v>
      </c>
      <c r="G530" s="25" t="s">
        <v>187</v>
      </c>
      <c r="H530" s="25" t="s">
        <v>1487</v>
      </c>
    </row>
    <row r="531" ht="15.75" customHeight="1">
      <c r="A531" s="27" t="s">
        <v>2021</v>
      </c>
      <c r="B531" s="27" t="s">
        <v>1049</v>
      </c>
      <c r="C531" s="27" t="s">
        <v>356</v>
      </c>
      <c r="D531" s="27" t="s">
        <v>1495</v>
      </c>
      <c r="E531" s="26">
        <v>3.4</v>
      </c>
      <c r="F531" s="33">
        <v>45149.0</v>
      </c>
      <c r="G531" s="27" t="s">
        <v>187</v>
      </c>
      <c r="H531" s="27" t="s">
        <v>1493</v>
      </c>
    </row>
    <row r="532" ht="15.75" customHeight="1">
      <c r="A532" s="25" t="s">
        <v>2022</v>
      </c>
      <c r="B532" s="25" t="s">
        <v>1056</v>
      </c>
      <c r="C532" s="25" t="s">
        <v>242</v>
      </c>
      <c r="D532" s="25" t="s">
        <v>1492</v>
      </c>
      <c r="E532" s="24">
        <v>1.4</v>
      </c>
      <c r="F532" s="30">
        <v>45840.0</v>
      </c>
      <c r="G532" s="25" t="s">
        <v>181</v>
      </c>
      <c r="H532" s="25" t="s">
        <v>1493</v>
      </c>
    </row>
    <row r="533" ht="15.75" customHeight="1">
      <c r="A533" s="27" t="s">
        <v>2023</v>
      </c>
      <c r="B533" s="27" t="s">
        <v>1056</v>
      </c>
      <c r="C533" s="27" t="s">
        <v>340</v>
      </c>
      <c r="D533" s="27" t="s">
        <v>1486</v>
      </c>
      <c r="E533" s="26">
        <v>1.0</v>
      </c>
      <c r="F533" s="33">
        <v>44928.0</v>
      </c>
      <c r="G533" s="27" t="s">
        <v>187</v>
      </c>
      <c r="H533" s="27" t="s">
        <v>1493</v>
      </c>
    </row>
    <row r="534" ht="15.75" customHeight="1">
      <c r="A534" s="25" t="s">
        <v>2024</v>
      </c>
      <c r="B534" s="25" t="s">
        <v>1056</v>
      </c>
      <c r="C534" s="25" t="s">
        <v>329</v>
      </c>
      <c r="D534" s="25" t="s">
        <v>1492</v>
      </c>
      <c r="E534" s="24">
        <v>1.4</v>
      </c>
      <c r="F534" s="30">
        <v>45602.0</v>
      </c>
      <c r="G534" s="25" t="s">
        <v>187</v>
      </c>
      <c r="H534" s="25" t="s">
        <v>1496</v>
      </c>
    </row>
    <row r="535" ht="15.75" customHeight="1">
      <c r="A535" s="27" t="s">
        <v>2025</v>
      </c>
      <c r="B535" s="27" t="s">
        <v>1056</v>
      </c>
      <c r="C535" s="27" t="s">
        <v>301</v>
      </c>
      <c r="D535" s="27" t="s">
        <v>1492</v>
      </c>
      <c r="E535" s="26">
        <v>2.3</v>
      </c>
      <c r="F535" s="33">
        <v>45931.0</v>
      </c>
      <c r="G535" s="27" t="s">
        <v>187</v>
      </c>
      <c r="H535" s="27" t="s">
        <v>1496</v>
      </c>
    </row>
    <row r="536" ht="15.75" customHeight="1">
      <c r="A536" s="25" t="s">
        <v>2026</v>
      </c>
      <c r="B536" s="25" t="s">
        <v>1063</v>
      </c>
      <c r="C536" s="25" t="s">
        <v>370</v>
      </c>
      <c r="D536" s="25" t="s">
        <v>1492</v>
      </c>
      <c r="E536" s="24">
        <v>5.6</v>
      </c>
      <c r="F536" s="30">
        <v>45662.0</v>
      </c>
      <c r="G536" s="25" t="s">
        <v>181</v>
      </c>
      <c r="H536" s="25" t="s">
        <v>1496</v>
      </c>
    </row>
    <row r="537" ht="15.75" customHeight="1">
      <c r="A537" s="27" t="s">
        <v>2027</v>
      </c>
      <c r="B537" s="27" t="s">
        <v>1063</v>
      </c>
      <c r="C537" s="27" t="s">
        <v>325</v>
      </c>
      <c r="D537" s="27" t="s">
        <v>1492</v>
      </c>
      <c r="E537" s="26">
        <v>2.7</v>
      </c>
      <c r="F537" s="33">
        <v>45112.0</v>
      </c>
      <c r="G537" s="27" t="s">
        <v>187</v>
      </c>
      <c r="H537" s="27" t="s">
        <v>1496</v>
      </c>
    </row>
    <row r="538" ht="15.75" customHeight="1">
      <c r="A538" s="25" t="s">
        <v>2028</v>
      </c>
      <c r="B538" s="25" t="s">
        <v>1063</v>
      </c>
      <c r="C538" s="25" t="s">
        <v>374</v>
      </c>
      <c r="D538" s="25" t="s">
        <v>1495</v>
      </c>
      <c r="E538" s="24">
        <v>5.8</v>
      </c>
      <c r="F538" s="30">
        <v>45091.0</v>
      </c>
      <c r="G538" s="25" t="s">
        <v>187</v>
      </c>
      <c r="H538" s="25" t="s">
        <v>1496</v>
      </c>
    </row>
    <row r="539" ht="15.75" customHeight="1">
      <c r="A539" s="27" t="s">
        <v>2029</v>
      </c>
      <c r="B539" s="27" t="s">
        <v>1063</v>
      </c>
      <c r="C539" s="27" t="s">
        <v>313</v>
      </c>
      <c r="D539" s="27" t="s">
        <v>1492</v>
      </c>
      <c r="E539" s="26">
        <v>2.1</v>
      </c>
      <c r="F539" s="33">
        <v>45342.0</v>
      </c>
      <c r="G539" s="27" t="s">
        <v>187</v>
      </c>
      <c r="H539" s="27" t="s">
        <v>1493</v>
      </c>
    </row>
    <row r="540" ht="15.75" customHeight="1">
      <c r="A540" s="25" t="s">
        <v>2030</v>
      </c>
      <c r="B540" s="25" t="s">
        <v>1069</v>
      </c>
      <c r="C540" s="25" t="s">
        <v>305</v>
      </c>
      <c r="D540" s="25" t="s">
        <v>1489</v>
      </c>
      <c r="E540" s="24">
        <v>2.1</v>
      </c>
      <c r="F540" s="30">
        <v>45315.0</v>
      </c>
      <c r="G540" s="25" t="s">
        <v>181</v>
      </c>
      <c r="H540" s="25" t="s">
        <v>1493</v>
      </c>
    </row>
    <row r="541" ht="15.75" customHeight="1">
      <c r="A541" s="27" t="s">
        <v>2031</v>
      </c>
      <c r="B541" s="27" t="s">
        <v>1069</v>
      </c>
      <c r="C541" s="27" t="s">
        <v>329</v>
      </c>
      <c r="D541" s="27" t="s">
        <v>1489</v>
      </c>
      <c r="E541" s="26">
        <v>0.6</v>
      </c>
      <c r="F541" s="33">
        <v>45415.0</v>
      </c>
      <c r="G541" s="27" t="s">
        <v>187</v>
      </c>
      <c r="H541" s="27" t="s">
        <v>1496</v>
      </c>
    </row>
    <row r="542" ht="15.75" customHeight="1">
      <c r="A542" s="25" t="s">
        <v>2032</v>
      </c>
      <c r="B542" s="25" t="s">
        <v>1069</v>
      </c>
      <c r="C542" s="25" t="s">
        <v>370</v>
      </c>
      <c r="D542" s="25" t="s">
        <v>1495</v>
      </c>
      <c r="E542" s="24">
        <v>2.5</v>
      </c>
      <c r="F542" s="30">
        <v>45557.0</v>
      </c>
      <c r="G542" s="25" t="s">
        <v>187</v>
      </c>
      <c r="H542" s="25" t="s">
        <v>1496</v>
      </c>
    </row>
    <row r="543" ht="15.75" customHeight="1">
      <c r="A543" s="27" t="s">
        <v>2033</v>
      </c>
      <c r="B543" s="27" t="s">
        <v>1069</v>
      </c>
      <c r="C543" s="27" t="s">
        <v>325</v>
      </c>
      <c r="D543" s="27" t="s">
        <v>1495</v>
      </c>
      <c r="E543" s="26">
        <v>2.6</v>
      </c>
      <c r="F543" s="33">
        <v>45847.0</v>
      </c>
      <c r="G543" s="27" t="s">
        <v>187</v>
      </c>
      <c r="H543" s="27" t="s">
        <v>1493</v>
      </c>
    </row>
    <row r="544" ht="15.75" customHeight="1">
      <c r="A544" s="25" t="s">
        <v>2034</v>
      </c>
      <c r="B544" s="25" t="s">
        <v>1069</v>
      </c>
      <c r="C544" s="25" t="s">
        <v>365</v>
      </c>
      <c r="D544" s="25" t="s">
        <v>1489</v>
      </c>
      <c r="E544" s="24">
        <v>0.6</v>
      </c>
      <c r="F544" s="30">
        <v>45014.0</v>
      </c>
      <c r="G544" s="25" t="s">
        <v>187</v>
      </c>
      <c r="H544" s="25" t="s">
        <v>1496</v>
      </c>
    </row>
    <row r="545" ht="15.75" customHeight="1">
      <c r="A545" s="27" t="s">
        <v>2035</v>
      </c>
      <c r="B545" s="27" t="s">
        <v>1069</v>
      </c>
      <c r="C545" s="27" t="s">
        <v>359</v>
      </c>
      <c r="D545" s="27" t="s">
        <v>1489</v>
      </c>
      <c r="E545" s="26">
        <v>2.5</v>
      </c>
      <c r="F545" s="33">
        <v>45998.0</v>
      </c>
      <c r="G545" s="27" t="s">
        <v>187</v>
      </c>
      <c r="H545" s="27" t="s">
        <v>1496</v>
      </c>
    </row>
    <row r="546" ht="15.75" customHeight="1">
      <c r="A546" s="25" t="s">
        <v>2036</v>
      </c>
      <c r="B546" s="25" t="s">
        <v>1069</v>
      </c>
      <c r="C546" s="25" t="s">
        <v>273</v>
      </c>
      <c r="D546" s="25" t="s">
        <v>1486</v>
      </c>
      <c r="E546" s="24">
        <v>2.7</v>
      </c>
      <c r="F546" s="30">
        <v>45232.0</v>
      </c>
      <c r="G546" s="25" t="s">
        <v>187</v>
      </c>
      <c r="H546" s="25" t="s">
        <v>1487</v>
      </c>
    </row>
    <row r="547" ht="15.75" customHeight="1">
      <c r="A547" s="27" t="s">
        <v>2037</v>
      </c>
      <c r="B547" s="27" t="s">
        <v>1076</v>
      </c>
      <c r="C547" s="27" t="s">
        <v>370</v>
      </c>
      <c r="D547" s="27" t="s">
        <v>1492</v>
      </c>
      <c r="E547" s="26">
        <v>0.8</v>
      </c>
      <c r="F547" s="33">
        <v>45279.0</v>
      </c>
      <c r="G547" s="27" t="s">
        <v>181</v>
      </c>
      <c r="H547" s="27" t="s">
        <v>1487</v>
      </c>
    </row>
    <row r="548" ht="15.75" customHeight="1">
      <c r="A548" s="25" t="s">
        <v>2038</v>
      </c>
      <c r="B548" s="25" t="s">
        <v>1076</v>
      </c>
      <c r="C548" s="25" t="s">
        <v>325</v>
      </c>
      <c r="D548" s="25" t="s">
        <v>1489</v>
      </c>
      <c r="E548" s="24">
        <v>1.3</v>
      </c>
      <c r="F548" s="30">
        <v>45126.0</v>
      </c>
      <c r="G548" s="25" t="s">
        <v>187</v>
      </c>
      <c r="H548" s="25" t="s">
        <v>1496</v>
      </c>
    </row>
    <row r="549" ht="15.75" customHeight="1">
      <c r="A549" s="27" t="s">
        <v>2039</v>
      </c>
      <c r="B549" s="27" t="s">
        <v>1076</v>
      </c>
      <c r="C549" s="27" t="s">
        <v>348</v>
      </c>
      <c r="D549" s="27" t="s">
        <v>1492</v>
      </c>
      <c r="E549" s="26">
        <v>2.6</v>
      </c>
      <c r="F549" s="33">
        <v>45057.0</v>
      </c>
      <c r="G549" s="27" t="s">
        <v>187</v>
      </c>
      <c r="H549" s="27" t="s">
        <v>1493</v>
      </c>
    </row>
    <row r="550" ht="15.75" customHeight="1">
      <c r="A550" s="25" t="s">
        <v>2040</v>
      </c>
      <c r="B550" s="25" t="s">
        <v>1076</v>
      </c>
      <c r="C550" s="25" t="s">
        <v>333</v>
      </c>
      <c r="D550" s="25" t="s">
        <v>1489</v>
      </c>
      <c r="E550" s="24">
        <v>2.0</v>
      </c>
      <c r="F550" s="30">
        <v>45378.0</v>
      </c>
      <c r="G550" s="25" t="s">
        <v>187</v>
      </c>
      <c r="H550" s="25" t="s">
        <v>1493</v>
      </c>
    </row>
    <row r="551" ht="15.75" customHeight="1">
      <c r="A551" s="27" t="s">
        <v>2041</v>
      </c>
      <c r="B551" s="27" t="s">
        <v>1076</v>
      </c>
      <c r="C551" s="27" t="s">
        <v>313</v>
      </c>
      <c r="D551" s="27" t="s">
        <v>1492</v>
      </c>
      <c r="E551" s="26">
        <v>1.6</v>
      </c>
      <c r="F551" s="33">
        <v>45750.0</v>
      </c>
      <c r="G551" s="27" t="s">
        <v>187</v>
      </c>
      <c r="H551" s="27" t="s">
        <v>1496</v>
      </c>
    </row>
    <row r="552" ht="15.75" customHeight="1">
      <c r="A552" s="25" t="s">
        <v>2042</v>
      </c>
      <c r="B552" s="25" t="s">
        <v>1082</v>
      </c>
      <c r="C552" s="25" t="s">
        <v>305</v>
      </c>
      <c r="D552" s="25" t="s">
        <v>1489</v>
      </c>
      <c r="E552" s="24">
        <v>0.7</v>
      </c>
      <c r="F552" s="30">
        <v>45487.0</v>
      </c>
      <c r="G552" s="25" t="s">
        <v>181</v>
      </c>
      <c r="H552" s="25" t="s">
        <v>1493</v>
      </c>
    </row>
    <row r="553" ht="15.75" customHeight="1">
      <c r="A553" s="27" t="s">
        <v>2043</v>
      </c>
      <c r="B553" s="27" t="s">
        <v>1082</v>
      </c>
      <c r="C553" s="27" t="s">
        <v>356</v>
      </c>
      <c r="D553" s="27" t="s">
        <v>1492</v>
      </c>
      <c r="E553" s="26">
        <v>0.9</v>
      </c>
      <c r="F553" s="33">
        <v>45684.0</v>
      </c>
      <c r="G553" s="27" t="s">
        <v>187</v>
      </c>
      <c r="H553" s="27" t="s">
        <v>1487</v>
      </c>
    </row>
    <row r="554" ht="15.75" customHeight="1">
      <c r="A554" s="25" t="s">
        <v>2044</v>
      </c>
      <c r="B554" s="25" t="s">
        <v>1082</v>
      </c>
      <c r="C554" s="25" t="s">
        <v>325</v>
      </c>
      <c r="D554" s="25" t="s">
        <v>1489</v>
      </c>
      <c r="E554" s="24">
        <v>1.1</v>
      </c>
      <c r="F554" s="30">
        <v>45010.0</v>
      </c>
      <c r="G554" s="25" t="s">
        <v>187</v>
      </c>
      <c r="H554" s="25" t="s">
        <v>1493</v>
      </c>
    </row>
    <row r="555" ht="15.75" customHeight="1">
      <c r="A555" s="27" t="s">
        <v>2045</v>
      </c>
      <c r="B555" s="27" t="s">
        <v>1082</v>
      </c>
      <c r="C555" s="27" t="s">
        <v>336</v>
      </c>
      <c r="D555" s="27" t="s">
        <v>1489</v>
      </c>
      <c r="E555" s="26">
        <v>2.6</v>
      </c>
      <c r="F555" s="33">
        <v>45697.0</v>
      </c>
      <c r="G555" s="27" t="s">
        <v>187</v>
      </c>
      <c r="H555" s="27" t="s">
        <v>1493</v>
      </c>
    </row>
    <row r="556" ht="15.75" customHeight="1">
      <c r="A556" s="25" t="s">
        <v>2046</v>
      </c>
      <c r="B556" s="25" t="s">
        <v>1082</v>
      </c>
      <c r="C556" s="25" t="s">
        <v>365</v>
      </c>
      <c r="D556" s="25" t="s">
        <v>1489</v>
      </c>
      <c r="E556" s="24">
        <v>1.7</v>
      </c>
      <c r="F556" s="30">
        <v>44940.0</v>
      </c>
      <c r="G556" s="25" t="s">
        <v>187</v>
      </c>
      <c r="H556" s="25" t="s">
        <v>1493</v>
      </c>
    </row>
    <row r="557" ht="15.75" customHeight="1">
      <c r="A557" s="27" t="s">
        <v>2047</v>
      </c>
      <c r="B557" s="27" t="s">
        <v>1082</v>
      </c>
      <c r="C557" s="27" t="s">
        <v>374</v>
      </c>
      <c r="D557" s="27" t="s">
        <v>1489</v>
      </c>
      <c r="E557" s="26">
        <v>0.7</v>
      </c>
      <c r="F557" s="33">
        <v>45508.0</v>
      </c>
      <c r="G557" s="27" t="s">
        <v>187</v>
      </c>
      <c r="H557" s="27" t="s">
        <v>1496</v>
      </c>
    </row>
    <row r="558" ht="15.75" customHeight="1">
      <c r="A558" s="25" t="s">
        <v>2048</v>
      </c>
      <c r="B558" s="25" t="s">
        <v>1082</v>
      </c>
      <c r="C558" s="25" t="s">
        <v>295</v>
      </c>
      <c r="D558" s="25" t="s">
        <v>1492</v>
      </c>
      <c r="E558" s="24">
        <v>2.5</v>
      </c>
      <c r="F558" s="30">
        <v>45901.0</v>
      </c>
      <c r="G558" s="25" t="s">
        <v>187</v>
      </c>
      <c r="H558" s="25" t="s">
        <v>1487</v>
      </c>
    </row>
    <row r="559" ht="15.75" customHeight="1">
      <c r="A559" s="27" t="s">
        <v>2049</v>
      </c>
      <c r="B559" s="27" t="s">
        <v>1089</v>
      </c>
      <c r="C559" s="27" t="s">
        <v>329</v>
      </c>
      <c r="D559" s="27" t="s">
        <v>1492</v>
      </c>
      <c r="E559" s="26">
        <v>0.7</v>
      </c>
      <c r="F559" s="33">
        <v>45295.0</v>
      </c>
      <c r="G559" s="27" t="s">
        <v>181</v>
      </c>
      <c r="H559" s="27" t="s">
        <v>1487</v>
      </c>
    </row>
    <row r="560" ht="15.75" customHeight="1">
      <c r="A560" s="25" t="s">
        <v>2050</v>
      </c>
      <c r="B560" s="25" t="s">
        <v>1089</v>
      </c>
      <c r="C560" s="25" t="s">
        <v>246</v>
      </c>
      <c r="D560" s="25" t="s">
        <v>1495</v>
      </c>
      <c r="E560" s="24">
        <v>5.7</v>
      </c>
      <c r="F560" s="30">
        <v>45543.0</v>
      </c>
      <c r="G560" s="25" t="s">
        <v>187</v>
      </c>
      <c r="H560" s="25" t="s">
        <v>1496</v>
      </c>
    </row>
    <row r="561" ht="15.75" customHeight="1">
      <c r="A561" s="27" t="s">
        <v>2051</v>
      </c>
      <c r="B561" s="27" t="s">
        <v>1089</v>
      </c>
      <c r="C561" s="27" t="s">
        <v>301</v>
      </c>
      <c r="D561" s="27" t="s">
        <v>1495</v>
      </c>
      <c r="E561" s="26">
        <v>3.6</v>
      </c>
      <c r="F561" s="33">
        <v>45320.0</v>
      </c>
      <c r="G561" s="27" t="s">
        <v>187</v>
      </c>
      <c r="H561" s="27" t="s">
        <v>1493</v>
      </c>
    </row>
    <row r="562" ht="15.75" customHeight="1">
      <c r="A562" s="25" t="s">
        <v>2052</v>
      </c>
      <c r="B562" s="25" t="s">
        <v>1089</v>
      </c>
      <c r="C562" s="25" t="s">
        <v>253</v>
      </c>
      <c r="D562" s="25" t="s">
        <v>1486</v>
      </c>
      <c r="E562" s="24">
        <v>5.9</v>
      </c>
      <c r="F562" s="30">
        <v>45668.0</v>
      </c>
      <c r="G562" s="25" t="s">
        <v>187</v>
      </c>
      <c r="H562" s="25" t="s">
        <v>1487</v>
      </c>
    </row>
    <row r="563" ht="15.75" customHeight="1">
      <c r="A563" s="27" t="s">
        <v>2053</v>
      </c>
      <c r="B563" s="27" t="s">
        <v>1089</v>
      </c>
      <c r="C563" s="27" t="s">
        <v>370</v>
      </c>
      <c r="D563" s="27" t="s">
        <v>1495</v>
      </c>
      <c r="E563" s="26">
        <v>3.1</v>
      </c>
      <c r="F563" s="33">
        <v>45353.0</v>
      </c>
      <c r="G563" s="27" t="s">
        <v>187</v>
      </c>
      <c r="H563" s="27" t="s">
        <v>1496</v>
      </c>
    </row>
    <row r="564" ht="15.75" customHeight="1">
      <c r="A564" s="25" t="s">
        <v>2054</v>
      </c>
      <c r="B564" s="25" t="s">
        <v>1095</v>
      </c>
      <c r="C564" s="25" t="s">
        <v>242</v>
      </c>
      <c r="D564" s="25" t="s">
        <v>1492</v>
      </c>
      <c r="E564" s="24">
        <v>0.7</v>
      </c>
      <c r="F564" s="30">
        <v>45672.0</v>
      </c>
      <c r="G564" s="25" t="s">
        <v>181</v>
      </c>
      <c r="H564" s="25" t="s">
        <v>1496</v>
      </c>
    </row>
    <row r="565" ht="15.75" customHeight="1">
      <c r="A565" s="27" t="s">
        <v>2055</v>
      </c>
      <c r="B565" s="27" t="s">
        <v>1095</v>
      </c>
      <c r="C565" s="27" t="s">
        <v>344</v>
      </c>
      <c r="D565" s="27" t="s">
        <v>1489</v>
      </c>
      <c r="E565" s="26">
        <v>1.9</v>
      </c>
      <c r="F565" s="33">
        <v>45855.0</v>
      </c>
      <c r="G565" s="27" t="s">
        <v>187</v>
      </c>
      <c r="H565" s="27" t="s">
        <v>1493</v>
      </c>
    </row>
    <row r="566" ht="15.75" customHeight="1">
      <c r="A566" s="25" t="s">
        <v>2056</v>
      </c>
      <c r="B566" s="25" t="s">
        <v>1095</v>
      </c>
      <c r="C566" s="25" t="s">
        <v>253</v>
      </c>
      <c r="D566" s="25" t="s">
        <v>1489</v>
      </c>
      <c r="E566" s="24">
        <v>0.8</v>
      </c>
      <c r="F566" s="30">
        <v>45287.0</v>
      </c>
      <c r="G566" s="25" t="s">
        <v>187</v>
      </c>
      <c r="H566" s="25" t="s">
        <v>1493</v>
      </c>
    </row>
    <row r="567" ht="15.75" customHeight="1">
      <c r="A567" s="27" t="s">
        <v>2057</v>
      </c>
      <c r="B567" s="27" t="s">
        <v>1095</v>
      </c>
      <c r="C567" s="27" t="s">
        <v>370</v>
      </c>
      <c r="D567" s="27" t="s">
        <v>1492</v>
      </c>
      <c r="E567" s="26">
        <v>3.2</v>
      </c>
      <c r="F567" s="33">
        <v>45164.0</v>
      </c>
      <c r="G567" s="27" t="s">
        <v>187</v>
      </c>
      <c r="H567" s="27" t="s">
        <v>1493</v>
      </c>
    </row>
    <row r="568" ht="15.75" customHeight="1">
      <c r="A568" s="25" t="s">
        <v>2058</v>
      </c>
      <c r="B568" s="25" t="s">
        <v>1095</v>
      </c>
      <c r="C568" s="25" t="s">
        <v>325</v>
      </c>
      <c r="D568" s="25" t="s">
        <v>1486</v>
      </c>
      <c r="E568" s="24">
        <v>4.5</v>
      </c>
      <c r="F568" s="30">
        <v>45594.0</v>
      </c>
      <c r="G568" s="25" t="s">
        <v>187</v>
      </c>
      <c r="H568" s="25" t="s">
        <v>1496</v>
      </c>
    </row>
    <row r="569" ht="15.75" customHeight="1">
      <c r="A569" s="27" t="s">
        <v>2059</v>
      </c>
      <c r="B569" s="27" t="s">
        <v>1102</v>
      </c>
      <c r="C569" s="27" t="s">
        <v>305</v>
      </c>
      <c r="D569" s="27" t="s">
        <v>1492</v>
      </c>
      <c r="E569" s="26">
        <v>0.9</v>
      </c>
      <c r="F569" s="33">
        <v>45696.0</v>
      </c>
      <c r="G569" s="27" t="s">
        <v>181</v>
      </c>
      <c r="H569" s="27" t="s">
        <v>1493</v>
      </c>
    </row>
    <row r="570" ht="15.75" customHeight="1">
      <c r="A570" s="25" t="s">
        <v>2060</v>
      </c>
      <c r="B570" s="25" t="s">
        <v>1102</v>
      </c>
      <c r="C570" s="25" t="s">
        <v>356</v>
      </c>
      <c r="D570" s="25" t="s">
        <v>1489</v>
      </c>
      <c r="E570" s="24">
        <v>0.8</v>
      </c>
      <c r="F570" s="30">
        <v>45038.0</v>
      </c>
      <c r="G570" s="25" t="s">
        <v>187</v>
      </c>
      <c r="H570" s="25" t="s">
        <v>1496</v>
      </c>
    </row>
    <row r="571" ht="15.75" customHeight="1">
      <c r="A571" s="27" t="s">
        <v>2061</v>
      </c>
      <c r="B571" s="27" t="s">
        <v>1102</v>
      </c>
      <c r="C571" s="27" t="s">
        <v>325</v>
      </c>
      <c r="D571" s="27" t="s">
        <v>1489</v>
      </c>
      <c r="E571" s="26">
        <v>1.0</v>
      </c>
      <c r="F571" s="33">
        <v>45858.0</v>
      </c>
      <c r="G571" s="27" t="s">
        <v>187</v>
      </c>
      <c r="H571" s="27" t="s">
        <v>1493</v>
      </c>
    </row>
    <row r="572" ht="15.75" customHeight="1">
      <c r="A572" s="25" t="s">
        <v>2062</v>
      </c>
      <c r="B572" s="25" t="s">
        <v>1102</v>
      </c>
      <c r="C572" s="25" t="s">
        <v>266</v>
      </c>
      <c r="D572" s="25" t="s">
        <v>1495</v>
      </c>
      <c r="E572" s="24">
        <v>0.6</v>
      </c>
      <c r="F572" s="30">
        <v>45324.0</v>
      </c>
      <c r="G572" s="25" t="s">
        <v>187</v>
      </c>
      <c r="H572" s="25" t="s">
        <v>1487</v>
      </c>
    </row>
    <row r="573" ht="15.75" customHeight="1">
      <c r="A573" s="27" t="s">
        <v>2063</v>
      </c>
      <c r="B573" s="27" t="s">
        <v>1102</v>
      </c>
      <c r="C573" s="27" t="s">
        <v>313</v>
      </c>
      <c r="D573" s="27" t="s">
        <v>1495</v>
      </c>
      <c r="E573" s="26">
        <v>0.6</v>
      </c>
      <c r="F573" s="33">
        <v>45614.0</v>
      </c>
      <c r="G573" s="27" t="s">
        <v>187</v>
      </c>
      <c r="H573" s="27" t="s">
        <v>1493</v>
      </c>
    </row>
    <row r="574" ht="15.75" customHeight="1">
      <c r="A574" s="25" t="s">
        <v>2064</v>
      </c>
      <c r="B574" s="25" t="s">
        <v>1110</v>
      </c>
      <c r="C574" s="25" t="s">
        <v>329</v>
      </c>
      <c r="D574" s="25" t="s">
        <v>1495</v>
      </c>
      <c r="E574" s="24">
        <v>3.2</v>
      </c>
      <c r="F574" s="30">
        <v>45377.0</v>
      </c>
      <c r="G574" s="25" t="s">
        <v>181</v>
      </c>
      <c r="H574" s="25" t="s">
        <v>1496</v>
      </c>
    </row>
    <row r="575" ht="15.75" customHeight="1">
      <c r="A575" s="27" t="s">
        <v>2065</v>
      </c>
      <c r="B575" s="27" t="s">
        <v>1110</v>
      </c>
      <c r="C575" s="27" t="s">
        <v>370</v>
      </c>
      <c r="D575" s="27" t="s">
        <v>1492</v>
      </c>
      <c r="E575" s="26">
        <v>3.3</v>
      </c>
      <c r="F575" s="33">
        <v>45275.0</v>
      </c>
      <c r="G575" s="27" t="s">
        <v>187</v>
      </c>
      <c r="H575" s="27" t="s">
        <v>1487</v>
      </c>
    </row>
    <row r="576" ht="15.75" customHeight="1">
      <c r="A576" s="25" t="s">
        <v>2066</v>
      </c>
      <c r="B576" s="25" t="s">
        <v>1110</v>
      </c>
      <c r="C576" s="25" t="s">
        <v>309</v>
      </c>
      <c r="D576" s="25" t="s">
        <v>1486</v>
      </c>
      <c r="E576" s="24">
        <v>3.5</v>
      </c>
      <c r="F576" s="30">
        <v>45104.0</v>
      </c>
      <c r="G576" s="25" t="s">
        <v>187</v>
      </c>
      <c r="H576" s="25" t="s">
        <v>1496</v>
      </c>
    </row>
    <row r="577" ht="15.75" customHeight="1">
      <c r="A577" s="27" t="s">
        <v>2067</v>
      </c>
      <c r="B577" s="27" t="s">
        <v>1110</v>
      </c>
      <c r="C577" s="27" t="s">
        <v>365</v>
      </c>
      <c r="D577" s="27" t="s">
        <v>1492</v>
      </c>
      <c r="E577" s="26">
        <v>2.2</v>
      </c>
      <c r="F577" s="33">
        <v>45370.0</v>
      </c>
      <c r="G577" s="27" t="s">
        <v>187</v>
      </c>
      <c r="H577" s="27" t="s">
        <v>1487</v>
      </c>
    </row>
    <row r="578" ht="15.75" customHeight="1">
      <c r="A578" s="25" t="s">
        <v>2068</v>
      </c>
      <c r="B578" s="25" t="s">
        <v>1110</v>
      </c>
      <c r="C578" s="25" t="s">
        <v>321</v>
      </c>
      <c r="D578" s="25" t="s">
        <v>1495</v>
      </c>
      <c r="E578" s="24">
        <v>2.1</v>
      </c>
      <c r="F578" s="30">
        <v>44956.0</v>
      </c>
      <c r="G578" s="25" t="s">
        <v>187</v>
      </c>
      <c r="H578" s="25" t="s">
        <v>1487</v>
      </c>
    </row>
    <row r="579" ht="15.75" customHeight="1">
      <c r="A579" s="27" t="s">
        <v>2069</v>
      </c>
      <c r="B579" s="27" t="s">
        <v>1110</v>
      </c>
      <c r="C579" s="27" t="s">
        <v>295</v>
      </c>
      <c r="D579" s="27" t="s">
        <v>1495</v>
      </c>
      <c r="E579" s="26">
        <v>3.6</v>
      </c>
      <c r="F579" s="33">
        <v>45434.0</v>
      </c>
      <c r="G579" s="27" t="s">
        <v>187</v>
      </c>
      <c r="H579" s="27" t="s">
        <v>1496</v>
      </c>
    </row>
    <row r="580" ht="15.75" customHeight="1">
      <c r="A580" s="25" t="s">
        <v>2070</v>
      </c>
      <c r="B580" s="25" t="s">
        <v>1110</v>
      </c>
      <c r="C580" s="25" t="s">
        <v>353</v>
      </c>
      <c r="D580" s="25" t="s">
        <v>1495</v>
      </c>
      <c r="E580" s="24">
        <v>1.3</v>
      </c>
      <c r="F580" s="30">
        <v>45232.0</v>
      </c>
      <c r="G580" s="25" t="s">
        <v>187</v>
      </c>
      <c r="H580" s="25" t="s">
        <v>1487</v>
      </c>
    </row>
    <row r="581" ht="15.75" customHeight="1">
      <c r="A581" s="27" t="s">
        <v>2071</v>
      </c>
      <c r="B581" s="27" t="s">
        <v>1116</v>
      </c>
      <c r="C581" s="27" t="s">
        <v>370</v>
      </c>
      <c r="D581" s="27" t="s">
        <v>1495</v>
      </c>
      <c r="E581" s="26">
        <v>3.3</v>
      </c>
      <c r="F581" s="33">
        <v>45127.0</v>
      </c>
      <c r="G581" s="27" t="s">
        <v>181</v>
      </c>
      <c r="H581" s="27" t="s">
        <v>1496</v>
      </c>
    </row>
    <row r="582" ht="15.75" customHeight="1">
      <c r="A582" s="25" t="s">
        <v>2072</v>
      </c>
      <c r="B582" s="25" t="s">
        <v>1116</v>
      </c>
      <c r="C582" s="25" t="s">
        <v>362</v>
      </c>
      <c r="D582" s="25" t="s">
        <v>1495</v>
      </c>
      <c r="E582" s="24">
        <v>0.8</v>
      </c>
      <c r="F582" s="30">
        <v>44952.0</v>
      </c>
      <c r="G582" s="25" t="s">
        <v>187</v>
      </c>
      <c r="H582" s="25" t="s">
        <v>1487</v>
      </c>
    </row>
    <row r="583" ht="15.75" customHeight="1">
      <c r="A583" s="27" t="s">
        <v>2073</v>
      </c>
      <c r="B583" s="27" t="s">
        <v>1116</v>
      </c>
      <c r="C583" s="27" t="s">
        <v>333</v>
      </c>
      <c r="D583" s="27" t="s">
        <v>1492</v>
      </c>
      <c r="E583" s="26">
        <v>3.8</v>
      </c>
      <c r="F583" s="33">
        <v>45198.0</v>
      </c>
      <c r="G583" s="27" t="s">
        <v>187</v>
      </c>
      <c r="H583" s="27" t="s">
        <v>1496</v>
      </c>
    </row>
    <row r="584" ht="15.75" customHeight="1">
      <c r="A584" s="25" t="s">
        <v>2074</v>
      </c>
      <c r="B584" s="25" t="s">
        <v>1116</v>
      </c>
      <c r="C584" s="25" t="s">
        <v>365</v>
      </c>
      <c r="D584" s="25" t="s">
        <v>1495</v>
      </c>
      <c r="E584" s="24">
        <v>2.8</v>
      </c>
      <c r="F584" s="30">
        <v>45112.0</v>
      </c>
      <c r="G584" s="25" t="s">
        <v>187</v>
      </c>
      <c r="H584" s="25" t="s">
        <v>1493</v>
      </c>
    </row>
    <row r="585" ht="15.75" customHeight="1">
      <c r="A585" s="27" t="s">
        <v>2075</v>
      </c>
      <c r="B585" s="27" t="s">
        <v>1116</v>
      </c>
      <c r="C585" s="27" t="s">
        <v>234</v>
      </c>
      <c r="D585" s="27" t="s">
        <v>1495</v>
      </c>
      <c r="E585" s="26">
        <v>1.6</v>
      </c>
      <c r="F585" s="33">
        <v>45867.0</v>
      </c>
      <c r="G585" s="27" t="s">
        <v>187</v>
      </c>
      <c r="H585" s="27" t="s">
        <v>1487</v>
      </c>
    </row>
    <row r="586" ht="15.75" customHeight="1">
      <c r="A586" s="25" t="s">
        <v>2076</v>
      </c>
      <c r="B586" s="25" t="s">
        <v>1116</v>
      </c>
      <c r="C586" s="25" t="s">
        <v>321</v>
      </c>
      <c r="D586" s="25" t="s">
        <v>1492</v>
      </c>
      <c r="E586" s="24">
        <v>0.6</v>
      </c>
      <c r="F586" s="30">
        <v>45858.0</v>
      </c>
      <c r="G586" s="25" t="s">
        <v>187</v>
      </c>
      <c r="H586" s="25" t="s">
        <v>1496</v>
      </c>
    </row>
    <row r="587" ht="15.75" customHeight="1">
      <c r="A587" s="27" t="s">
        <v>2077</v>
      </c>
      <c r="B587" s="27" t="s">
        <v>1116</v>
      </c>
      <c r="C587" s="27" t="s">
        <v>277</v>
      </c>
      <c r="D587" s="27" t="s">
        <v>1492</v>
      </c>
      <c r="E587" s="26">
        <v>3.6</v>
      </c>
      <c r="F587" s="33">
        <v>45757.0</v>
      </c>
      <c r="G587" s="27" t="s">
        <v>187</v>
      </c>
      <c r="H587" s="27" t="s">
        <v>1493</v>
      </c>
    </row>
    <row r="588" ht="15.75" customHeight="1">
      <c r="A588" s="25" t="s">
        <v>2078</v>
      </c>
      <c r="B588" s="25" t="s">
        <v>1122</v>
      </c>
      <c r="C588" s="25" t="s">
        <v>229</v>
      </c>
      <c r="D588" s="25" t="s">
        <v>1489</v>
      </c>
      <c r="E588" s="24">
        <v>1.6</v>
      </c>
      <c r="F588" s="30">
        <v>45479.0</v>
      </c>
      <c r="G588" s="25" t="s">
        <v>181</v>
      </c>
      <c r="H588" s="25" t="s">
        <v>1487</v>
      </c>
    </row>
    <row r="589" ht="15.75" customHeight="1">
      <c r="A589" s="27" t="s">
        <v>2079</v>
      </c>
      <c r="B589" s="27" t="s">
        <v>1122</v>
      </c>
      <c r="C589" s="27" t="s">
        <v>340</v>
      </c>
      <c r="D589" s="27" t="s">
        <v>1486</v>
      </c>
      <c r="E589" s="26">
        <v>1.9</v>
      </c>
      <c r="F589" s="33">
        <v>45351.0</v>
      </c>
      <c r="G589" s="27" t="s">
        <v>187</v>
      </c>
      <c r="H589" s="27" t="s">
        <v>1487</v>
      </c>
    </row>
    <row r="590" ht="15.75" customHeight="1">
      <c r="A590" s="25" t="s">
        <v>2080</v>
      </c>
      <c r="B590" s="25" t="s">
        <v>1122</v>
      </c>
      <c r="C590" s="25" t="s">
        <v>344</v>
      </c>
      <c r="D590" s="25" t="s">
        <v>1489</v>
      </c>
      <c r="E590" s="24">
        <v>2.7</v>
      </c>
      <c r="F590" s="30">
        <v>45039.0</v>
      </c>
      <c r="G590" s="25" t="s">
        <v>187</v>
      </c>
      <c r="H590" s="25" t="s">
        <v>1487</v>
      </c>
    </row>
    <row r="591" ht="15.75" customHeight="1">
      <c r="A591" s="27" t="s">
        <v>2081</v>
      </c>
      <c r="B591" s="27" t="s">
        <v>1122</v>
      </c>
      <c r="C591" s="27" t="s">
        <v>301</v>
      </c>
      <c r="D591" s="27" t="s">
        <v>1486</v>
      </c>
      <c r="E591" s="26">
        <v>2.2</v>
      </c>
      <c r="F591" s="33">
        <v>45032.0</v>
      </c>
      <c r="G591" s="27" t="s">
        <v>187</v>
      </c>
      <c r="H591" s="27" t="s">
        <v>1493</v>
      </c>
    </row>
    <row r="592" ht="15.75" customHeight="1">
      <c r="A592" s="25" t="s">
        <v>2082</v>
      </c>
      <c r="B592" s="25" t="s">
        <v>1122</v>
      </c>
      <c r="C592" s="25" t="s">
        <v>370</v>
      </c>
      <c r="D592" s="25" t="s">
        <v>1495</v>
      </c>
      <c r="E592" s="24">
        <v>1.7</v>
      </c>
      <c r="F592" s="30">
        <v>45010.0</v>
      </c>
      <c r="G592" s="25" t="s">
        <v>187</v>
      </c>
      <c r="H592" s="25" t="s">
        <v>1496</v>
      </c>
    </row>
    <row r="593" ht="15.75" customHeight="1">
      <c r="A593" s="27" t="s">
        <v>2083</v>
      </c>
      <c r="B593" s="27" t="s">
        <v>1122</v>
      </c>
      <c r="C593" s="27" t="s">
        <v>348</v>
      </c>
      <c r="D593" s="27" t="s">
        <v>1495</v>
      </c>
      <c r="E593" s="26">
        <v>2.1</v>
      </c>
      <c r="F593" s="33">
        <v>45064.0</v>
      </c>
      <c r="G593" s="27" t="s">
        <v>187</v>
      </c>
      <c r="H593" s="27" t="s">
        <v>1487</v>
      </c>
    </row>
    <row r="594" ht="15.75" customHeight="1">
      <c r="A594" s="25" t="s">
        <v>2084</v>
      </c>
      <c r="B594" s="25" t="s">
        <v>1122</v>
      </c>
      <c r="C594" s="25" t="s">
        <v>309</v>
      </c>
      <c r="D594" s="25" t="s">
        <v>1492</v>
      </c>
      <c r="E594" s="24">
        <v>1.0</v>
      </c>
      <c r="F594" s="30">
        <v>45612.0</v>
      </c>
      <c r="G594" s="25" t="s">
        <v>187</v>
      </c>
      <c r="H594" s="25" t="s">
        <v>1493</v>
      </c>
    </row>
    <row r="595" ht="15.75" customHeight="1">
      <c r="A595" s="27" t="s">
        <v>2085</v>
      </c>
      <c r="B595" s="27" t="s">
        <v>1122</v>
      </c>
      <c r="C595" s="27" t="s">
        <v>280</v>
      </c>
      <c r="D595" s="27" t="s">
        <v>1495</v>
      </c>
      <c r="E595" s="26">
        <v>2.1</v>
      </c>
      <c r="F595" s="33">
        <v>45356.0</v>
      </c>
      <c r="G595" s="27" t="s">
        <v>187</v>
      </c>
      <c r="H595" s="27" t="s">
        <v>1487</v>
      </c>
    </row>
    <row r="596" ht="15.75" customHeight="1">
      <c r="A596" s="25" t="s">
        <v>2086</v>
      </c>
      <c r="B596" s="25" t="s">
        <v>1128</v>
      </c>
      <c r="C596" s="25" t="s">
        <v>260</v>
      </c>
      <c r="D596" s="25" t="s">
        <v>1495</v>
      </c>
      <c r="E596" s="24">
        <v>1.2</v>
      </c>
      <c r="F596" s="30">
        <v>45953.0</v>
      </c>
      <c r="G596" s="25" t="s">
        <v>181</v>
      </c>
      <c r="H596" s="25" t="s">
        <v>1487</v>
      </c>
    </row>
    <row r="597" ht="15.75" customHeight="1">
      <c r="A597" s="27" t="s">
        <v>2087</v>
      </c>
      <c r="B597" s="27" t="s">
        <v>1128</v>
      </c>
      <c r="C597" s="27" t="s">
        <v>270</v>
      </c>
      <c r="D597" s="27" t="s">
        <v>1492</v>
      </c>
      <c r="E597" s="26">
        <v>1.2</v>
      </c>
      <c r="F597" s="33">
        <v>46016.0</v>
      </c>
      <c r="G597" s="27" t="s">
        <v>187</v>
      </c>
      <c r="H597" s="27" t="s">
        <v>1487</v>
      </c>
    </row>
    <row r="598" ht="15.75" customHeight="1">
      <c r="A598" s="25" t="s">
        <v>2088</v>
      </c>
      <c r="B598" s="25" t="s">
        <v>1128</v>
      </c>
      <c r="C598" s="25" t="s">
        <v>340</v>
      </c>
      <c r="D598" s="25" t="s">
        <v>1492</v>
      </c>
      <c r="E598" s="24">
        <v>1.8</v>
      </c>
      <c r="F598" s="30">
        <v>45852.0</v>
      </c>
      <c r="G598" s="25" t="s">
        <v>187</v>
      </c>
      <c r="H598" s="25" t="s">
        <v>1487</v>
      </c>
    </row>
    <row r="599" ht="15.75" customHeight="1">
      <c r="A599" s="27" t="s">
        <v>2089</v>
      </c>
      <c r="B599" s="27" t="s">
        <v>1128</v>
      </c>
      <c r="C599" s="27" t="s">
        <v>370</v>
      </c>
      <c r="D599" s="27" t="s">
        <v>1495</v>
      </c>
      <c r="E599" s="26">
        <v>1.5</v>
      </c>
      <c r="F599" s="33">
        <v>45061.0</v>
      </c>
      <c r="G599" s="27" t="s">
        <v>187</v>
      </c>
      <c r="H599" s="27" t="s">
        <v>1493</v>
      </c>
    </row>
    <row r="600" ht="15.75" customHeight="1">
      <c r="A600" s="25" t="s">
        <v>2090</v>
      </c>
      <c r="B600" s="25" t="s">
        <v>1134</v>
      </c>
      <c r="C600" s="25" t="s">
        <v>242</v>
      </c>
      <c r="D600" s="25" t="s">
        <v>1489</v>
      </c>
      <c r="E600" s="24">
        <v>1.2</v>
      </c>
      <c r="F600" s="30">
        <v>44973.0</v>
      </c>
      <c r="G600" s="25" t="s">
        <v>181</v>
      </c>
      <c r="H600" s="25" t="s">
        <v>1496</v>
      </c>
    </row>
    <row r="601" ht="15.75" customHeight="1">
      <c r="A601" s="27" t="s">
        <v>2091</v>
      </c>
      <c r="B601" s="27" t="s">
        <v>1134</v>
      </c>
      <c r="C601" s="27" t="s">
        <v>329</v>
      </c>
      <c r="D601" s="27" t="s">
        <v>1495</v>
      </c>
      <c r="E601" s="26">
        <v>2.9</v>
      </c>
      <c r="F601" s="33">
        <v>45197.0</v>
      </c>
      <c r="G601" s="27" t="s">
        <v>187</v>
      </c>
      <c r="H601" s="27" t="s">
        <v>1496</v>
      </c>
    </row>
    <row r="602" ht="15.75" customHeight="1">
      <c r="A602" s="25" t="s">
        <v>2092</v>
      </c>
      <c r="B602" s="25" t="s">
        <v>1134</v>
      </c>
      <c r="C602" s="25" t="s">
        <v>325</v>
      </c>
      <c r="D602" s="25" t="s">
        <v>1495</v>
      </c>
      <c r="E602" s="24">
        <v>2.1</v>
      </c>
      <c r="F602" s="30">
        <v>44970.0</v>
      </c>
      <c r="G602" s="25" t="s">
        <v>187</v>
      </c>
      <c r="H602" s="25" t="s">
        <v>1496</v>
      </c>
    </row>
    <row r="603" ht="15.75" customHeight="1">
      <c r="A603" s="27" t="s">
        <v>2093</v>
      </c>
      <c r="B603" s="27" t="s">
        <v>1134</v>
      </c>
      <c r="C603" s="27" t="s">
        <v>348</v>
      </c>
      <c r="D603" s="27" t="s">
        <v>1489</v>
      </c>
      <c r="E603" s="26">
        <v>0.6</v>
      </c>
      <c r="F603" s="33">
        <v>45402.0</v>
      </c>
      <c r="G603" s="27" t="s">
        <v>187</v>
      </c>
      <c r="H603" s="27" t="s">
        <v>1487</v>
      </c>
    </row>
    <row r="604" ht="15.75" customHeight="1">
      <c r="A604" s="25" t="s">
        <v>2094</v>
      </c>
      <c r="B604" s="25" t="s">
        <v>1134</v>
      </c>
      <c r="C604" s="25" t="s">
        <v>365</v>
      </c>
      <c r="D604" s="25" t="s">
        <v>1492</v>
      </c>
      <c r="E604" s="24">
        <v>1.9</v>
      </c>
      <c r="F604" s="30">
        <v>45629.0</v>
      </c>
      <c r="G604" s="25" t="s">
        <v>187</v>
      </c>
      <c r="H604" s="25" t="s">
        <v>1487</v>
      </c>
    </row>
    <row r="605" ht="15.75" customHeight="1">
      <c r="A605" s="27" t="s">
        <v>2095</v>
      </c>
      <c r="B605" s="27" t="s">
        <v>1134</v>
      </c>
      <c r="C605" s="27" t="s">
        <v>238</v>
      </c>
      <c r="D605" s="27" t="s">
        <v>1492</v>
      </c>
      <c r="E605" s="26">
        <v>1.6</v>
      </c>
      <c r="F605" s="33">
        <v>46012.0</v>
      </c>
      <c r="G605" s="27" t="s">
        <v>187</v>
      </c>
      <c r="H605" s="27" t="s">
        <v>1487</v>
      </c>
    </row>
    <row r="606" ht="15.75" customHeight="1">
      <c r="A606" s="25" t="s">
        <v>2096</v>
      </c>
      <c r="B606" s="25" t="s">
        <v>1134</v>
      </c>
      <c r="C606" s="25" t="s">
        <v>374</v>
      </c>
      <c r="D606" s="25" t="s">
        <v>1495</v>
      </c>
      <c r="E606" s="24">
        <v>1.6</v>
      </c>
      <c r="F606" s="30">
        <v>45197.0</v>
      </c>
      <c r="G606" s="25" t="s">
        <v>187</v>
      </c>
      <c r="H606" s="25" t="s">
        <v>1496</v>
      </c>
    </row>
    <row r="607" ht="15.75" customHeight="1">
      <c r="A607" s="27" t="s">
        <v>2097</v>
      </c>
      <c r="B607" s="27" t="s">
        <v>1141</v>
      </c>
      <c r="C607" s="27" t="s">
        <v>260</v>
      </c>
      <c r="D607" s="27" t="s">
        <v>1495</v>
      </c>
      <c r="E607" s="26">
        <v>1.1</v>
      </c>
      <c r="F607" s="33">
        <v>45256.0</v>
      </c>
      <c r="G607" s="27" t="s">
        <v>181</v>
      </c>
      <c r="H607" s="27" t="s">
        <v>1487</v>
      </c>
    </row>
    <row r="608" ht="15.75" customHeight="1">
      <c r="A608" s="25" t="s">
        <v>2098</v>
      </c>
      <c r="B608" s="25" t="s">
        <v>1141</v>
      </c>
      <c r="C608" s="25" t="s">
        <v>329</v>
      </c>
      <c r="D608" s="25" t="s">
        <v>1495</v>
      </c>
      <c r="E608" s="24">
        <v>1.1</v>
      </c>
      <c r="F608" s="30">
        <v>45286.0</v>
      </c>
      <c r="G608" s="25" t="s">
        <v>187</v>
      </c>
      <c r="H608" s="25" t="s">
        <v>1487</v>
      </c>
    </row>
    <row r="609" ht="15.75" customHeight="1">
      <c r="A609" s="27" t="s">
        <v>2099</v>
      </c>
      <c r="B609" s="27" t="s">
        <v>1141</v>
      </c>
      <c r="C609" s="27" t="s">
        <v>344</v>
      </c>
      <c r="D609" s="27" t="s">
        <v>1492</v>
      </c>
      <c r="E609" s="26">
        <v>2.8</v>
      </c>
      <c r="F609" s="33">
        <v>45241.0</v>
      </c>
      <c r="G609" s="27" t="s">
        <v>187</v>
      </c>
      <c r="H609" s="27" t="s">
        <v>1493</v>
      </c>
    </row>
    <row r="610" ht="15.75" customHeight="1">
      <c r="A610" s="25" t="s">
        <v>2100</v>
      </c>
      <c r="B610" s="25" t="s">
        <v>1141</v>
      </c>
      <c r="C610" s="25" t="s">
        <v>284</v>
      </c>
      <c r="D610" s="25" t="s">
        <v>1489</v>
      </c>
      <c r="E610" s="24">
        <v>0.6</v>
      </c>
      <c r="F610" s="30">
        <v>45575.0</v>
      </c>
      <c r="G610" s="25" t="s">
        <v>187</v>
      </c>
      <c r="H610" s="25" t="s">
        <v>1487</v>
      </c>
    </row>
    <row r="611" ht="15.75" customHeight="1">
      <c r="A611" s="27" t="s">
        <v>2101</v>
      </c>
      <c r="B611" s="27" t="s">
        <v>1141</v>
      </c>
      <c r="C611" s="27" t="s">
        <v>370</v>
      </c>
      <c r="D611" s="27" t="s">
        <v>1489</v>
      </c>
      <c r="E611" s="26">
        <v>1.4</v>
      </c>
      <c r="F611" s="33">
        <v>45304.0</v>
      </c>
      <c r="G611" s="27" t="s">
        <v>187</v>
      </c>
      <c r="H611" s="27" t="s">
        <v>1493</v>
      </c>
    </row>
    <row r="612" ht="15.75" customHeight="1">
      <c r="A612" s="25" t="s">
        <v>2102</v>
      </c>
      <c r="B612" s="25" t="s">
        <v>1141</v>
      </c>
      <c r="C612" s="25" t="s">
        <v>348</v>
      </c>
      <c r="D612" s="25" t="s">
        <v>1495</v>
      </c>
      <c r="E612" s="24">
        <v>0.6</v>
      </c>
      <c r="F612" s="30">
        <v>45576.0</v>
      </c>
      <c r="G612" s="25" t="s">
        <v>187</v>
      </c>
      <c r="H612" s="25" t="s">
        <v>1496</v>
      </c>
    </row>
    <row r="613" ht="15.75" customHeight="1">
      <c r="A613" s="27" t="s">
        <v>2103</v>
      </c>
      <c r="B613" s="27" t="s">
        <v>1147</v>
      </c>
      <c r="C613" s="27" t="s">
        <v>270</v>
      </c>
      <c r="D613" s="27" t="s">
        <v>1486</v>
      </c>
      <c r="E613" s="26">
        <v>3.2</v>
      </c>
      <c r="F613" s="33">
        <v>45865.0</v>
      </c>
      <c r="G613" s="27" t="s">
        <v>181</v>
      </c>
      <c r="H613" s="27" t="s">
        <v>1496</v>
      </c>
    </row>
    <row r="614" ht="15.75" customHeight="1">
      <c r="A614" s="25" t="s">
        <v>2104</v>
      </c>
      <c r="B614" s="25" t="s">
        <v>1147</v>
      </c>
      <c r="C614" s="25" t="s">
        <v>356</v>
      </c>
      <c r="D614" s="25" t="s">
        <v>1489</v>
      </c>
      <c r="E614" s="24">
        <v>3.9</v>
      </c>
      <c r="F614" s="30">
        <v>45966.0</v>
      </c>
      <c r="G614" s="25" t="s">
        <v>187</v>
      </c>
      <c r="H614" s="25" t="s">
        <v>1496</v>
      </c>
    </row>
    <row r="615" ht="15.75" customHeight="1">
      <c r="A615" s="27" t="s">
        <v>2105</v>
      </c>
      <c r="B615" s="27" t="s">
        <v>1147</v>
      </c>
      <c r="C615" s="27" t="s">
        <v>325</v>
      </c>
      <c r="D615" s="27" t="s">
        <v>1492</v>
      </c>
      <c r="E615" s="26">
        <v>1.5</v>
      </c>
      <c r="F615" s="33">
        <v>45520.0</v>
      </c>
      <c r="G615" s="27" t="s">
        <v>187</v>
      </c>
      <c r="H615" s="27" t="s">
        <v>1487</v>
      </c>
    </row>
    <row r="616" ht="15.75" customHeight="1">
      <c r="A616" s="25" t="s">
        <v>2106</v>
      </c>
      <c r="B616" s="25" t="s">
        <v>1147</v>
      </c>
      <c r="C616" s="25" t="s">
        <v>336</v>
      </c>
      <c r="D616" s="25" t="s">
        <v>1492</v>
      </c>
      <c r="E616" s="24">
        <v>3.3</v>
      </c>
      <c r="F616" s="30">
        <v>45832.0</v>
      </c>
      <c r="G616" s="25" t="s">
        <v>187</v>
      </c>
      <c r="H616" s="25" t="s">
        <v>1496</v>
      </c>
    </row>
    <row r="617" ht="15.75" customHeight="1">
      <c r="A617" s="27" t="s">
        <v>2107</v>
      </c>
      <c r="B617" s="27" t="s">
        <v>1147</v>
      </c>
      <c r="C617" s="27" t="s">
        <v>365</v>
      </c>
      <c r="D617" s="27" t="s">
        <v>1492</v>
      </c>
      <c r="E617" s="26">
        <v>3.1</v>
      </c>
      <c r="F617" s="33">
        <v>45009.0</v>
      </c>
      <c r="G617" s="27" t="s">
        <v>187</v>
      </c>
      <c r="H617" s="27" t="s">
        <v>1493</v>
      </c>
    </row>
    <row r="618" ht="15.75" customHeight="1">
      <c r="A618" s="25" t="s">
        <v>2108</v>
      </c>
      <c r="B618" s="25" t="s">
        <v>1147</v>
      </c>
      <c r="C618" s="25" t="s">
        <v>280</v>
      </c>
      <c r="D618" s="25" t="s">
        <v>1492</v>
      </c>
      <c r="E618" s="24">
        <v>0.9</v>
      </c>
      <c r="F618" s="30">
        <v>44977.0</v>
      </c>
      <c r="G618" s="25" t="s">
        <v>187</v>
      </c>
      <c r="H618" s="25" t="s">
        <v>1496</v>
      </c>
    </row>
    <row r="619" ht="15.75" customHeight="1">
      <c r="A619" s="27" t="s">
        <v>2109</v>
      </c>
      <c r="B619" s="27" t="s">
        <v>1147</v>
      </c>
      <c r="C619" s="27" t="s">
        <v>374</v>
      </c>
      <c r="D619" s="27" t="s">
        <v>1492</v>
      </c>
      <c r="E619" s="26">
        <v>1.3</v>
      </c>
      <c r="F619" s="33">
        <v>45658.0</v>
      </c>
      <c r="G619" s="27" t="s">
        <v>187</v>
      </c>
      <c r="H619" s="27" t="s">
        <v>1493</v>
      </c>
    </row>
    <row r="620" ht="15.75" customHeight="1">
      <c r="A620" s="25" t="s">
        <v>2110</v>
      </c>
      <c r="B620" s="25" t="s">
        <v>1154</v>
      </c>
      <c r="C620" s="25" t="s">
        <v>344</v>
      </c>
      <c r="D620" s="25" t="s">
        <v>1489</v>
      </c>
      <c r="E620" s="24">
        <v>1.8</v>
      </c>
      <c r="F620" s="30">
        <v>45105.0</v>
      </c>
      <c r="G620" s="25" t="s">
        <v>181</v>
      </c>
      <c r="H620" s="25" t="s">
        <v>1487</v>
      </c>
    </row>
    <row r="621" ht="15.75" customHeight="1">
      <c r="A621" s="27" t="s">
        <v>2111</v>
      </c>
      <c r="B621" s="27" t="s">
        <v>1154</v>
      </c>
      <c r="C621" s="27" t="s">
        <v>253</v>
      </c>
      <c r="D621" s="27" t="s">
        <v>1495</v>
      </c>
      <c r="E621" s="26">
        <v>1.2</v>
      </c>
      <c r="F621" s="33">
        <v>45974.0</v>
      </c>
      <c r="G621" s="27" t="s">
        <v>187</v>
      </c>
      <c r="H621" s="27" t="s">
        <v>1493</v>
      </c>
    </row>
    <row r="622" ht="15.75" customHeight="1">
      <c r="A622" s="25" t="s">
        <v>2112</v>
      </c>
      <c r="B622" s="25" t="s">
        <v>1154</v>
      </c>
      <c r="C622" s="25" t="s">
        <v>301</v>
      </c>
      <c r="D622" s="25" t="s">
        <v>1492</v>
      </c>
      <c r="E622" s="24">
        <v>1.0</v>
      </c>
      <c r="F622" s="30">
        <v>45229.0</v>
      </c>
      <c r="G622" s="25" t="s">
        <v>187</v>
      </c>
      <c r="H622" s="25" t="s">
        <v>1487</v>
      </c>
    </row>
    <row r="623" ht="15.75" customHeight="1">
      <c r="A623" s="27" t="s">
        <v>2113</v>
      </c>
      <c r="B623" s="27" t="s">
        <v>1154</v>
      </c>
      <c r="C623" s="27" t="s">
        <v>298</v>
      </c>
      <c r="D623" s="27" t="s">
        <v>1492</v>
      </c>
      <c r="E623" s="26">
        <v>1.1</v>
      </c>
      <c r="F623" s="33">
        <v>45690.0</v>
      </c>
      <c r="G623" s="27" t="s">
        <v>187</v>
      </c>
      <c r="H623" s="27" t="s">
        <v>1493</v>
      </c>
    </row>
    <row r="624" ht="15.75" customHeight="1">
      <c r="A624" s="25" t="s">
        <v>2114</v>
      </c>
      <c r="B624" s="25" t="s">
        <v>1160</v>
      </c>
      <c r="C624" s="25" t="s">
        <v>270</v>
      </c>
      <c r="D624" s="25" t="s">
        <v>1495</v>
      </c>
      <c r="E624" s="24">
        <v>1.7</v>
      </c>
      <c r="F624" s="30">
        <v>45795.0</v>
      </c>
      <c r="G624" s="25" t="s">
        <v>181</v>
      </c>
      <c r="H624" s="25" t="s">
        <v>1487</v>
      </c>
    </row>
    <row r="625" ht="15.75" customHeight="1">
      <c r="A625" s="27" t="s">
        <v>2115</v>
      </c>
      <c r="B625" s="27" t="s">
        <v>1160</v>
      </c>
      <c r="C625" s="27" t="s">
        <v>370</v>
      </c>
      <c r="D625" s="27" t="s">
        <v>1492</v>
      </c>
      <c r="E625" s="26">
        <v>0.7</v>
      </c>
      <c r="F625" s="33">
        <v>45103.0</v>
      </c>
      <c r="G625" s="27" t="s">
        <v>187</v>
      </c>
      <c r="H625" s="27" t="s">
        <v>1493</v>
      </c>
    </row>
    <row r="626" ht="15.75" customHeight="1">
      <c r="A626" s="25" t="s">
        <v>2116</v>
      </c>
      <c r="B626" s="25" t="s">
        <v>1160</v>
      </c>
      <c r="C626" s="25" t="s">
        <v>325</v>
      </c>
      <c r="D626" s="25" t="s">
        <v>1489</v>
      </c>
      <c r="E626" s="24">
        <v>1.2</v>
      </c>
      <c r="F626" s="30">
        <v>46002.0</v>
      </c>
      <c r="G626" s="25" t="s">
        <v>187</v>
      </c>
      <c r="H626" s="25" t="s">
        <v>1496</v>
      </c>
    </row>
    <row r="627" ht="15.75" customHeight="1">
      <c r="A627" s="27" t="s">
        <v>2117</v>
      </c>
      <c r="B627" s="27" t="s">
        <v>1160</v>
      </c>
      <c r="C627" s="27" t="s">
        <v>280</v>
      </c>
      <c r="D627" s="27" t="s">
        <v>1489</v>
      </c>
      <c r="E627" s="26">
        <v>1.9</v>
      </c>
      <c r="F627" s="33">
        <v>45696.0</v>
      </c>
      <c r="G627" s="27" t="s">
        <v>187</v>
      </c>
      <c r="H627" s="27" t="s">
        <v>1493</v>
      </c>
    </row>
    <row r="628" ht="15.75" customHeight="1">
      <c r="A628" s="25" t="s">
        <v>2118</v>
      </c>
      <c r="B628" s="25" t="s">
        <v>1160</v>
      </c>
      <c r="C628" s="25" t="s">
        <v>321</v>
      </c>
      <c r="D628" s="25" t="s">
        <v>1489</v>
      </c>
      <c r="E628" s="24">
        <v>1.5</v>
      </c>
      <c r="F628" s="30">
        <v>45486.0</v>
      </c>
      <c r="G628" s="25" t="s">
        <v>187</v>
      </c>
      <c r="H628" s="25" t="s">
        <v>1496</v>
      </c>
    </row>
    <row r="629" ht="15.75" customHeight="1">
      <c r="A629" s="27" t="s">
        <v>2119</v>
      </c>
      <c r="B629" s="27" t="s">
        <v>1160</v>
      </c>
      <c r="C629" s="27" t="s">
        <v>359</v>
      </c>
      <c r="D629" s="27" t="s">
        <v>1489</v>
      </c>
      <c r="E629" s="26">
        <v>1.2</v>
      </c>
      <c r="F629" s="33">
        <v>45207.0</v>
      </c>
      <c r="G629" s="27" t="s">
        <v>187</v>
      </c>
      <c r="H629" s="27" t="s">
        <v>1493</v>
      </c>
    </row>
    <row r="630" ht="15.75" customHeight="1">
      <c r="A630" s="25" t="s">
        <v>2120</v>
      </c>
      <c r="B630" s="25" t="s">
        <v>1160</v>
      </c>
      <c r="C630" s="25" t="s">
        <v>374</v>
      </c>
      <c r="D630" s="25" t="s">
        <v>1489</v>
      </c>
      <c r="E630" s="24">
        <v>1.1</v>
      </c>
      <c r="F630" s="30">
        <v>45931.0</v>
      </c>
      <c r="G630" s="25" t="s">
        <v>187</v>
      </c>
      <c r="H630" s="25" t="s">
        <v>1493</v>
      </c>
    </row>
    <row r="631" ht="15.75" customHeight="1">
      <c r="A631" s="27" t="s">
        <v>2121</v>
      </c>
      <c r="B631" s="27" t="s">
        <v>1167</v>
      </c>
      <c r="C631" s="27" t="s">
        <v>340</v>
      </c>
      <c r="D631" s="27" t="s">
        <v>1489</v>
      </c>
      <c r="E631" s="26">
        <v>1.0</v>
      </c>
      <c r="F631" s="33">
        <v>45894.0</v>
      </c>
      <c r="G631" s="27" t="s">
        <v>181</v>
      </c>
      <c r="H631" s="27" t="s">
        <v>1493</v>
      </c>
    </row>
    <row r="632" ht="15.75" customHeight="1">
      <c r="A632" s="25" t="s">
        <v>2122</v>
      </c>
      <c r="B632" s="25" t="s">
        <v>1167</v>
      </c>
      <c r="C632" s="25" t="s">
        <v>284</v>
      </c>
      <c r="D632" s="25" t="s">
        <v>1492</v>
      </c>
      <c r="E632" s="24">
        <v>0.9</v>
      </c>
      <c r="F632" s="30">
        <v>45781.0</v>
      </c>
      <c r="G632" s="25" t="s">
        <v>187</v>
      </c>
      <c r="H632" s="25" t="s">
        <v>1493</v>
      </c>
    </row>
    <row r="633" ht="15.75" customHeight="1">
      <c r="A633" s="27" t="s">
        <v>2123</v>
      </c>
      <c r="B633" s="27" t="s">
        <v>1167</v>
      </c>
      <c r="C633" s="27" t="s">
        <v>333</v>
      </c>
      <c r="D633" s="27" t="s">
        <v>1495</v>
      </c>
      <c r="E633" s="26">
        <v>0.8</v>
      </c>
      <c r="F633" s="33">
        <v>45428.0</v>
      </c>
      <c r="G633" s="27" t="s">
        <v>187</v>
      </c>
      <c r="H633" s="27" t="s">
        <v>1493</v>
      </c>
    </row>
    <row r="634" ht="15.75" customHeight="1">
      <c r="A634" s="25" t="s">
        <v>2124</v>
      </c>
      <c r="B634" s="25" t="s">
        <v>1167</v>
      </c>
      <c r="C634" s="25" t="s">
        <v>365</v>
      </c>
      <c r="D634" s="25" t="s">
        <v>1489</v>
      </c>
      <c r="E634" s="24">
        <v>0.6</v>
      </c>
      <c r="F634" s="30">
        <v>45063.0</v>
      </c>
      <c r="G634" s="25" t="s">
        <v>187</v>
      </c>
      <c r="H634" s="25" t="s">
        <v>1487</v>
      </c>
    </row>
    <row r="635" ht="15.75" customHeight="1">
      <c r="A635" s="27" t="s">
        <v>2125</v>
      </c>
      <c r="B635" s="27" t="s">
        <v>1167</v>
      </c>
      <c r="C635" s="27" t="s">
        <v>374</v>
      </c>
      <c r="D635" s="27" t="s">
        <v>1492</v>
      </c>
      <c r="E635" s="26">
        <v>0.8</v>
      </c>
      <c r="F635" s="33">
        <v>45820.0</v>
      </c>
      <c r="G635" s="27" t="s">
        <v>187</v>
      </c>
      <c r="H635" s="27" t="s">
        <v>1496</v>
      </c>
    </row>
    <row r="636" ht="15.75" customHeight="1">
      <c r="A636" s="25" t="s">
        <v>2126</v>
      </c>
      <c r="B636" s="25" t="s">
        <v>1174</v>
      </c>
      <c r="C636" s="25" t="s">
        <v>270</v>
      </c>
      <c r="D636" s="25" t="s">
        <v>1495</v>
      </c>
      <c r="E636" s="24">
        <v>1.8</v>
      </c>
      <c r="F636" s="30">
        <v>45204.0</v>
      </c>
      <c r="G636" s="25" t="s">
        <v>181</v>
      </c>
      <c r="H636" s="25" t="s">
        <v>1496</v>
      </c>
    </row>
    <row r="637" ht="15.75" customHeight="1">
      <c r="A637" s="27" t="s">
        <v>2127</v>
      </c>
      <c r="B637" s="27" t="s">
        <v>1174</v>
      </c>
      <c r="C637" s="27" t="s">
        <v>242</v>
      </c>
      <c r="D637" s="27" t="s">
        <v>1489</v>
      </c>
      <c r="E637" s="26">
        <v>0.9</v>
      </c>
      <c r="F637" s="33">
        <v>45786.0</v>
      </c>
      <c r="G637" s="27" t="s">
        <v>187</v>
      </c>
      <c r="H637" s="27" t="s">
        <v>1487</v>
      </c>
    </row>
    <row r="638" ht="15.75" customHeight="1">
      <c r="A638" s="25" t="s">
        <v>2128</v>
      </c>
      <c r="B638" s="25" t="s">
        <v>1174</v>
      </c>
      <c r="C638" s="25" t="s">
        <v>288</v>
      </c>
      <c r="D638" s="25" t="s">
        <v>1486</v>
      </c>
      <c r="E638" s="24">
        <v>1.0</v>
      </c>
      <c r="F638" s="30">
        <v>45520.0</v>
      </c>
      <c r="G638" s="25" t="s">
        <v>187</v>
      </c>
      <c r="H638" s="25" t="s">
        <v>1496</v>
      </c>
    </row>
    <row r="639" ht="15.75" customHeight="1">
      <c r="A639" s="27" t="s">
        <v>2129</v>
      </c>
      <c r="B639" s="27" t="s">
        <v>1174</v>
      </c>
      <c r="C639" s="27" t="s">
        <v>356</v>
      </c>
      <c r="D639" s="27" t="s">
        <v>1495</v>
      </c>
      <c r="E639" s="26">
        <v>1.9</v>
      </c>
      <c r="F639" s="33">
        <v>45979.0</v>
      </c>
      <c r="G639" s="27" t="s">
        <v>187</v>
      </c>
      <c r="H639" s="27" t="s">
        <v>1493</v>
      </c>
    </row>
    <row r="640" ht="15.75" customHeight="1">
      <c r="A640" s="25" t="s">
        <v>2130</v>
      </c>
      <c r="B640" s="25" t="s">
        <v>1174</v>
      </c>
      <c r="C640" s="25" t="s">
        <v>336</v>
      </c>
      <c r="D640" s="25" t="s">
        <v>1492</v>
      </c>
      <c r="E640" s="24">
        <v>0.8</v>
      </c>
      <c r="F640" s="30">
        <v>45120.0</v>
      </c>
      <c r="G640" s="25" t="s">
        <v>187</v>
      </c>
      <c r="H640" s="25" t="s">
        <v>1487</v>
      </c>
    </row>
    <row r="641" ht="15.75" customHeight="1">
      <c r="A641" s="27" t="s">
        <v>2131</v>
      </c>
      <c r="B641" s="27" t="s">
        <v>1180</v>
      </c>
      <c r="C641" s="27" t="s">
        <v>329</v>
      </c>
      <c r="D641" s="27" t="s">
        <v>1495</v>
      </c>
      <c r="E641" s="26">
        <v>1.0</v>
      </c>
      <c r="F641" s="33">
        <v>45221.0</v>
      </c>
      <c r="G641" s="27" t="s">
        <v>181</v>
      </c>
      <c r="H641" s="27" t="s">
        <v>1493</v>
      </c>
    </row>
    <row r="642" ht="15.75" customHeight="1">
      <c r="A642" s="25" t="s">
        <v>2132</v>
      </c>
      <c r="B642" s="25" t="s">
        <v>1180</v>
      </c>
      <c r="C642" s="25" t="s">
        <v>305</v>
      </c>
      <c r="D642" s="25" t="s">
        <v>1489</v>
      </c>
      <c r="E642" s="24">
        <v>0.9</v>
      </c>
      <c r="F642" s="30">
        <v>45920.0</v>
      </c>
      <c r="G642" s="25" t="s">
        <v>187</v>
      </c>
      <c r="H642" s="25" t="s">
        <v>1496</v>
      </c>
    </row>
    <row r="643" ht="15.75" customHeight="1">
      <c r="A643" s="27" t="s">
        <v>2133</v>
      </c>
      <c r="B643" s="27" t="s">
        <v>1180</v>
      </c>
      <c r="C643" s="27" t="s">
        <v>344</v>
      </c>
      <c r="D643" s="27" t="s">
        <v>1495</v>
      </c>
      <c r="E643" s="26">
        <v>1.9</v>
      </c>
      <c r="F643" s="33">
        <v>45136.0</v>
      </c>
      <c r="G643" s="27" t="s">
        <v>187</v>
      </c>
      <c r="H643" s="27" t="s">
        <v>1493</v>
      </c>
    </row>
    <row r="644" ht="15.75" customHeight="1">
      <c r="A644" s="25" t="s">
        <v>2134</v>
      </c>
      <c r="B644" s="25" t="s">
        <v>1180</v>
      </c>
      <c r="C644" s="25" t="s">
        <v>356</v>
      </c>
      <c r="D644" s="25" t="s">
        <v>1489</v>
      </c>
      <c r="E644" s="24">
        <v>0.8</v>
      </c>
      <c r="F644" s="30">
        <v>45312.0</v>
      </c>
      <c r="G644" s="25" t="s">
        <v>187</v>
      </c>
      <c r="H644" s="25" t="s">
        <v>1487</v>
      </c>
    </row>
    <row r="645" ht="15.75" customHeight="1">
      <c r="A645" s="27" t="s">
        <v>2135</v>
      </c>
      <c r="B645" s="27" t="s">
        <v>1187</v>
      </c>
      <c r="C645" s="27" t="s">
        <v>344</v>
      </c>
      <c r="D645" s="27" t="s">
        <v>1495</v>
      </c>
      <c r="E645" s="26">
        <v>0.7</v>
      </c>
      <c r="F645" s="33">
        <v>45832.0</v>
      </c>
      <c r="G645" s="27" t="s">
        <v>181</v>
      </c>
      <c r="H645" s="27" t="s">
        <v>1487</v>
      </c>
    </row>
    <row r="646" ht="15.75" customHeight="1">
      <c r="A646" s="25" t="s">
        <v>2136</v>
      </c>
      <c r="B646" s="25" t="s">
        <v>1187</v>
      </c>
      <c r="C646" s="25" t="s">
        <v>370</v>
      </c>
      <c r="D646" s="25" t="s">
        <v>1495</v>
      </c>
      <c r="E646" s="24">
        <v>1.0</v>
      </c>
      <c r="F646" s="30">
        <v>45279.0</v>
      </c>
      <c r="G646" s="25" t="s">
        <v>187</v>
      </c>
      <c r="H646" s="25" t="s">
        <v>1487</v>
      </c>
    </row>
    <row r="647" ht="15.75" customHeight="1">
      <c r="A647" s="27" t="s">
        <v>2137</v>
      </c>
      <c r="B647" s="27" t="s">
        <v>1187</v>
      </c>
      <c r="C647" s="27" t="s">
        <v>365</v>
      </c>
      <c r="D647" s="27" t="s">
        <v>1495</v>
      </c>
      <c r="E647" s="26">
        <v>0.9</v>
      </c>
      <c r="F647" s="33">
        <v>45169.0</v>
      </c>
      <c r="G647" s="27" t="s">
        <v>187</v>
      </c>
      <c r="H647" s="27" t="s">
        <v>1493</v>
      </c>
    </row>
    <row r="648" ht="15.75" customHeight="1">
      <c r="A648" s="25" t="s">
        <v>2138</v>
      </c>
      <c r="B648" s="25" t="s">
        <v>1187</v>
      </c>
      <c r="C648" s="25" t="s">
        <v>280</v>
      </c>
      <c r="D648" s="25" t="s">
        <v>1489</v>
      </c>
      <c r="E648" s="24">
        <v>0.8</v>
      </c>
      <c r="F648" s="30">
        <v>45391.0</v>
      </c>
      <c r="G648" s="25" t="s">
        <v>187</v>
      </c>
      <c r="H648" s="25" t="s">
        <v>1496</v>
      </c>
    </row>
    <row r="649" ht="15.75" customHeight="1">
      <c r="A649" s="27" t="s">
        <v>2139</v>
      </c>
      <c r="B649" s="27" t="s">
        <v>1187</v>
      </c>
      <c r="C649" s="27" t="s">
        <v>321</v>
      </c>
      <c r="D649" s="27" t="s">
        <v>1489</v>
      </c>
      <c r="E649" s="26">
        <v>0.6</v>
      </c>
      <c r="F649" s="33">
        <v>45087.0</v>
      </c>
      <c r="G649" s="27" t="s">
        <v>187</v>
      </c>
      <c r="H649" s="27" t="s">
        <v>1496</v>
      </c>
    </row>
    <row r="650" ht="15.75" customHeight="1">
      <c r="A650" s="25" t="s">
        <v>2140</v>
      </c>
      <c r="B650" s="25" t="s">
        <v>1187</v>
      </c>
      <c r="C650" s="25" t="s">
        <v>277</v>
      </c>
      <c r="D650" s="25" t="s">
        <v>1492</v>
      </c>
      <c r="E650" s="24">
        <v>0.9</v>
      </c>
      <c r="F650" s="30">
        <v>45086.0</v>
      </c>
      <c r="G650" s="25" t="s">
        <v>187</v>
      </c>
      <c r="H650" s="25" t="s">
        <v>1493</v>
      </c>
    </row>
    <row r="651" ht="15.75" customHeight="1">
      <c r="A651" s="27" t="s">
        <v>2141</v>
      </c>
      <c r="B651" s="27" t="s">
        <v>1193</v>
      </c>
      <c r="C651" s="27" t="s">
        <v>242</v>
      </c>
      <c r="D651" s="27" t="s">
        <v>1489</v>
      </c>
      <c r="E651" s="26">
        <v>1.4</v>
      </c>
      <c r="F651" s="33">
        <v>45062.0</v>
      </c>
      <c r="G651" s="27" t="s">
        <v>181</v>
      </c>
      <c r="H651" s="27" t="s">
        <v>1496</v>
      </c>
    </row>
    <row r="652" ht="15.75" customHeight="1">
      <c r="A652" s="25" t="s">
        <v>2142</v>
      </c>
      <c r="B652" s="25" t="s">
        <v>1193</v>
      </c>
      <c r="C652" s="25" t="s">
        <v>340</v>
      </c>
      <c r="D652" s="25" t="s">
        <v>1492</v>
      </c>
      <c r="E652" s="24">
        <v>3.1</v>
      </c>
      <c r="F652" s="30">
        <v>45180.0</v>
      </c>
      <c r="G652" s="25" t="s">
        <v>187</v>
      </c>
      <c r="H652" s="25" t="s">
        <v>1487</v>
      </c>
    </row>
    <row r="653" ht="15.75" customHeight="1">
      <c r="A653" s="27" t="s">
        <v>2143</v>
      </c>
      <c r="B653" s="27" t="s">
        <v>1193</v>
      </c>
      <c r="C653" s="27" t="s">
        <v>253</v>
      </c>
      <c r="D653" s="27" t="s">
        <v>1489</v>
      </c>
      <c r="E653" s="26">
        <v>3.7</v>
      </c>
      <c r="F653" s="33">
        <v>45305.0</v>
      </c>
      <c r="G653" s="27" t="s">
        <v>187</v>
      </c>
      <c r="H653" s="27" t="s">
        <v>1487</v>
      </c>
    </row>
    <row r="654" ht="15.75" customHeight="1">
      <c r="A654" s="25" t="s">
        <v>2144</v>
      </c>
      <c r="B654" s="25" t="s">
        <v>1193</v>
      </c>
      <c r="C654" s="25" t="s">
        <v>362</v>
      </c>
      <c r="D654" s="25" t="s">
        <v>1495</v>
      </c>
      <c r="E654" s="24">
        <v>0.8</v>
      </c>
      <c r="F654" s="30">
        <v>45495.0</v>
      </c>
      <c r="G654" s="25" t="s">
        <v>187</v>
      </c>
      <c r="H654" s="25" t="s">
        <v>1487</v>
      </c>
    </row>
    <row r="655" ht="15.75" customHeight="1">
      <c r="A655" s="27" t="s">
        <v>2145</v>
      </c>
      <c r="B655" s="27" t="s">
        <v>1193</v>
      </c>
      <c r="C655" s="27" t="s">
        <v>374</v>
      </c>
      <c r="D655" s="27" t="s">
        <v>1495</v>
      </c>
      <c r="E655" s="26">
        <v>1.1</v>
      </c>
      <c r="F655" s="33">
        <v>45952.0</v>
      </c>
      <c r="G655" s="27" t="s">
        <v>187</v>
      </c>
      <c r="H655" s="27" t="s">
        <v>1487</v>
      </c>
    </row>
    <row r="656" ht="15.75" customHeight="1">
      <c r="A656" s="25" t="s">
        <v>2146</v>
      </c>
      <c r="B656" s="25" t="s">
        <v>1193</v>
      </c>
      <c r="C656" s="25" t="s">
        <v>365</v>
      </c>
      <c r="D656" s="25" t="s">
        <v>1492</v>
      </c>
      <c r="E656" s="24">
        <v>2.3</v>
      </c>
      <c r="F656" s="30">
        <v>45066.0</v>
      </c>
      <c r="G656" s="25" t="s">
        <v>187</v>
      </c>
      <c r="H656" s="25" t="s">
        <v>1493</v>
      </c>
    </row>
    <row r="657" ht="15.75" customHeight="1">
      <c r="A657" s="27" t="s">
        <v>2147</v>
      </c>
      <c r="B657" s="27" t="s">
        <v>1193</v>
      </c>
      <c r="C657" s="27" t="s">
        <v>234</v>
      </c>
      <c r="D657" s="27" t="s">
        <v>1492</v>
      </c>
      <c r="E657" s="26">
        <v>3.2</v>
      </c>
      <c r="F657" s="33">
        <v>46010.0</v>
      </c>
      <c r="G657" s="27" t="s">
        <v>187</v>
      </c>
      <c r="H657" s="27" t="s">
        <v>1493</v>
      </c>
    </row>
    <row r="658" ht="15.75" customHeight="1">
      <c r="A658" s="25" t="s">
        <v>2148</v>
      </c>
      <c r="B658" s="25" t="s">
        <v>1200</v>
      </c>
      <c r="C658" s="25" t="s">
        <v>370</v>
      </c>
      <c r="D658" s="25" t="s">
        <v>1492</v>
      </c>
      <c r="E658" s="24">
        <v>1.0</v>
      </c>
      <c r="F658" s="30">
        <v>45146.0</v>
      </c>
      <c r="G658" s="25" t="s">
        <v>181</v>
      </c>
      <c r="H658" s="25" t="s">
        <v>1493</v>
      </c>
    </row>
    <row r="659" ht="15.75" customHeight="1">
      <c r="A659" s="27" t="s">
        <v>2149</v>
      </c>
      <c r="B659" s="27" t="s">
        <v>1200</v>
      </c>
      <c r="C659" s="27" t="s">
        <v>336</v>
      </c>
      <c r="D659" s="27" t="s">
        <v>1492</v>
      </c>
      <c r="E659" s="26">
        <v>3.0</v>
      </c>
      <c r="F659" s="33">
        <v>45795.0</v>
      </c>
      <c r="G659" s="27" t="s">
        <v>187</v>
      </c>
      <c r="H659" s="27" t="s">
        <v>1493</v>
      </c>
    </row>
    <row r="660" ht="15.75" customHeight="1">
      <c r="A660" s="25" t="s">
        <v>2150</v>
      </c>
      <c r="B660" s="25" t="s">
        <v>1200</v>
      </c>
      <c r="C660" s="25" t="s">
        <v>348</v>
      </c>
      <c r="D660" s="25" t="s">
        <v>1495</v>
      </c>
      <c r="E660" s="24">
        <v>1.5</v>
      </c>
      <c r="F660" s="30">
        <v>45570.0</v>
      </c>
      <c r="G660" s="25" t="s">
        <v>187</v>
      </c>
      <c r="H660" s="25" t="s">
        <v>1493</v>
      </c>
    </row>
    <row r="661" ht="15.75" customHeight="1">
      <c r="A661" s="27" t="s">
        <v>2151</v>
      </c>
      <c r="B661" s="27" t="s">
        <v>1200</v>
      </c>
      <c r="C661" s="27" t="s">
        <v>365</v>
      </c>
      <c r="D661" s="27" t="s">
        <v>1495</v>
      </c>
      <c r="E661" s="26">
        <v>1.8</v>
      </c>
      <c r="F661" s="33">
        <v>45942.0</v>
      </c>
      <c r="G661" s="27" t="s">
        <v>187</v>
      </c>
      <c r="H661" s="27" t="s">
        <v>1496</v>
      </c>
    </row>
    <row r="662" ht="15.75" customHeight="1">
      <c r="A662" s="25" t="s">
        <v>2152</v>
      </c>
      <c r="B662" s="25" t="s">
        <v>1200</v>
      </c>
      <c r="C662" s="25" t="s">
        <v>321</v>
      </c>
      <c r="D662" s="25" t="s">
        <v>1492</v>
      </c>
      <c r="E662" s="24">
        <v>1.9</v>
      </c>
      <c r="F662" s="30">
        <v>45010.0</v>
      </c>
      <c r="G662" s="25" t="s">
        <v>187</v>
      </c>
      <c r="H662" s="25" t="s">
        <v>1493</v>
      </c>
    </row>
    <row r="663" ht="15.75" customHeight="1">
      <c r="A663" s="27" t="s">
        <v>2153</v>
      </c>
      <c r="B663" s="27" t="s">
        <v>1200</v>
      </c>
      <c r="C663" s="27" t="s">
        <v>317</v>
      </c>
      <c r="D663" s="27" t="s">
        <v>1495</v>
      </c>
      <c r="E663" s="26">
        <v>0.8</v>
      </c>
      <c r="F663" s="33">
        <v>45507.0</v>
      </c>
      <c r="G663" s="27" t="s">
        <v>187</v>
      </c>
      <c r="H663" s="27" t="s">
        <v>1496</v>
      </c>
    </row>
    <row r="664" ht="15.75" customHeight="1">
      <c r="A664" s="25" t="s">
        <v>2154</v>
      </c>
      <c r="B664" s="25" t="s">
        <v>1207</v>
      </c>
      <c r="C664" s="25" t="s">
        <v>305</v>
      </c>
      <c r="D664" s="25" t="s">
        <v>1486</v>
      </c>
      <c r="E664" s="24">
        <v>1.8</v>
      </c>
      <c r="F664" s="30">
        <v>44953.0</v>
      </c>
      <c r="G664" s="25" t="s">
        <v>181</v>
      </c>
      <c r="H664" s="25" t="s">
        <v>1487</v>
      </c>
    </row>
    <row r="665" ht="15.75" customHeight="1">
      <c r="A665" s="27" t="s">
        <v>2155</v>
      </c>
      <c r="B665" s="27" t="s">
        <v>1207</v>
      </c>
      <c r="C665" s="27" t="s">
        <v>329</v>
      </c>
      <c r="D665" s="27" t="s">
        <v>1495</v>
      </c>
      <c r="E665" s="26">
        <v>0.9</v>
      </c>
      <c r="F665" s="33">
        <v>45824.0</v>
      </c>
      <c r="G665" s="27" t="s">
        <v>187</v>
      </c>
      <c r="H665" s="27" t="s">
        <v>1487</v>
      </c>
    </row>
    <row r="666" ht="15.75" customHeight="1">
      <c r="A666" s="25" t="s">
        <v>2156</v>
      </c>
      <c r="B666" s="25" t="s">
        <v>1207</v>
      </c>
      <c r="C666" s="25" t="s">
        <v>333</v>
      </c>
      <c r="D666" s="25" t="s">
        <v>1492</v>
      </c>
      <c r="E666" s="24">
        <v>0.8</v>
      </c>
      <c r="F666" s="30">
        <v>45220.0</v>
      </c>
      <c r="G666" s="25" t="s">
        <v>187</v>
      </c>
      <c r="H666" s="25" t="s">
        <v>1496</v>
      </c>
    </row>
    <row r="667" ht="15.75" customHeight="1">
      <c r="A667" s="27" t="s">
        <v>2157</v>
      </c>
      <c r="B667" s="27" t="s">
        <v>1207</v>
      </c>
      <c r="C667" s="27" t="s">
        <v>365</v>
      </c>
      <c r="D667" s="27" t="s">
        <v>1495</v>
      </c>
      <c r="E667" s="26">
        <v>2.6</v>
      </c>
      <c r="F667" s="33">
        <v>45135.0</v>
      </c>
      <c r="G667" s="27" t="s">
        <v>187</v>
      </c>
      <c r="H667" s="27" t="s">
        <v>1487</v>
      </c>
    </row>
    <row r="668" ht="15.75" customHeight="1">
      <c r="A668" s="25" t="s">
        <v>2158</v>
      </c>
      <c r="B668" s="25" t="s">
        <v>1207</v>
      </c>
      <c r="C668" s="25" t="s">
        <v>280</v>
      </c>
      <c r="D668" s="25" t="s">
        <v>1486</v>
      </c>
      <c r="E668" s="24">
        <v>3.9</v>
      </c>
      <c r="F668" s="30">
        <v>45059.0</v>
      </c>
      <c r="G668" s="25" t="s">
        <v>187</v>
      </c>
      <c r="H668" s="25" t="s">
        <v>1496</v>
      </c>
    </row>
    <row r="669" ht="15.75" customHeight="1">
      <c r="A669" s="27" t="s">
        <v>2159</v>
      </c>
      <c r="B669" s="27" t="s">
        <v>1207</v>
      </c>
      <c r="C669" s="27" t="s">
        <v>359</v>
      </c>
      <c r="D669" s="27" t="s">
        <v>1486</v>
      </c>
      <c r="E669" s="26">
        <v>1.7</v>
      </c>
      <c r="F669" s="33">
        <v>45754.0</v>
      </c>
      <c r="G669" s="27" t="s">
        <v>187</v>
      </c>
      <c r="H669" s="27" t="s">
        <v>1493</v>
      </c>
    </row>
    <row r="670" ht="15.75" customHeight="1">
      <c r="A670" s="25" t="s">
        <v>2160</v>
      </c>
      <c r="B670" s="25" t="s">
        <v>1207</v>
      </c>
      <c r="C670" s="25" t="s">
        <v>374</v>
      </c>
      <c r="D670" s="25" t="s">
        <v>1489</v>
      </c>
      <c r="E670" s="24">
        <v>2.0</v>
      </c>
      <c r="F670" s="30">
        <v>45949.0</v>
      </c>
      <c r="G670" s="25" t="s">
        <v>187</v>
      </c>
      <c r="H670" s="25" t="s">
        <v>1496</v>
      </c>
    </row>
    <row r="671" ht="15.75" customHeight="1">
      <c r="A671" s="27" t="s">
        <v>2161</v>
      </c>
      <c r="B671" s="27" t="s">
        <v>1213</v>
      </c>
      <c r="C671" s="27" t="s">
        <v>270</v>
      </c>
      <c r="D671" s="27" t="s">
        <v>1495</v>
      </c>
      <c r="E671" s="26">
        <v>3.2</v>
      </c>
      <c r="F671" s="33">
        <v>45148.0</v>
      </c>
      <c r="G671" s="27" t="s">
        <v>181</v>
      </c>
      <c r="H671" s="27" t="s">
        <v>1493</v>
      </c>
    </row>
    <row r="672" ht="15.75" customHeight="1">
      <c r="A672" s="25" t="s">
        <v>2162</v>
      </c>
      <c r="B672" s="25" t="s">
        <v>1213</v>
      </c>
      <c r="C672" s="25" t="s">
        <v>340</v>
      </c>
      <c r="D672" s="25" t="s">
        <v>1489</v>
      </c>
      <c r="E672" s="24">
        <v>2.2</v>
      </c>
      <c r="F672" s="30">
        <v>45202.0</v>
      </c>
      <c r="G672" s="25" t="s">
        <v>187</v>
      </c>
      <c r="H672" s="25" t="s">
        <v>1493</v>
      </c>
    </row>
    <row r="673" ht="15.75" customHeight="1">
      <c r="A673" s="27" t="s">
        <v>2163</v>
      </c>
      <c r="B673" s="27" t="s">
        <v>1213</v>
      </c>
      <c r="C673" s="27" t="s">
        <v>370</v>
      </c>
      <c r="D673" s="27" t="s">
        <v>1489</v>
      </c>
      <c r="E673" s="26">
        <v>0.7</v>
      </c>
      <c r="F673" s="33">
        <v>45066.0</v>
      </c>
      <c r="G673" s="27" t="s">
        <v>187</v>
      </c>
      <c r="H673" s="27" t="s">
        <v>1496</v>
      </c>
    </row>
    <row r="674" ht="15.75" customHeight="1">
      <c r="A674" s="25" t="s">
        <v>2164</v>
      </c>
      <c r="B674" s="25" t="s">
        <v>1213</v>
      </c>
      <c r="C674" s="25" t="s">
        <v>301</v>
      </c>
      <c r="D674" s="25" t="s">
        <v>1492</v>
      </c>
      <c r="E674" s="24">
        <v>3.9</v>
      </c>
      <c r="F674" s="30">
        <v>45710.0</v>
      </c>
      <c r="G674" s="25" t="s">
        <v>187</v>
      </c>
      <c r="H674" s="25" t="s">
        <v>1487</v>
      </c>
    </row>
    <row r="675" ht="15.75" customHeight="1">
      <c r="A675" s="27" t="s">
        <v>2165</v>
      </c>
      <c r="B675" s="27" t="s">
        <v>1213</v>
      </c>
      <c r="C675" s="27" t="s">
        <v>362</v>
      </c>
      <c r="D675" s="27" t="s">
        <v>1492</v>
      </c>
      <c r="E675" s="26">
        <v>1.0</v>
      </c>
      <c r="F675" s="33">
        <v>45124.0</v>
      </c>
      <c r="G675" s="27" t="s">
        <v>187</v>
      </c>
      <c r="H675" s="27" t="s">
        <v>1493</v>
      </c>
    </row>
    <row r="676" ht="15.75" customHeight="1">
      <c r="A676" s="25" t="s">
        <v>2166</v>
      </c>
      <c r="B676" s="25" t="s">
        <v>1213</v>
      </c>
      <c r="C676" s="25" t="s">
        <v>374</v>
      </c>
      <c r="D676" s="25" t="s">
        <v>1492</v>
      </c>
      <c r="E676" s="24">
        <v>2.3</v>
      </c>
      <c r="F676" s="30">
        <v>45935.0</v>
      </c>
      <c r="G676" s="25" t="s">
        <v>187</v>
      </c>
      <c r="H676" s="25" t="s">
        <v>1496</v>
      </c>
    </row>
    <row r="677" ht="15.75" customHeight="1">
      <c r="A677" s="27" t="s">
        <v>2167</v>
      </c>
      <c r="B677" s="27" t="s">
        <v>1213</v>
      </c>
      <c r="C677" s="27" t="s">
        <v>333</v>
      </c>
      <c r="D677" s="27" t="s">
        <v>1489</v>
      </c>
      <c r="E677" s="26">
        <v>2.8</v>
      </c>
      <c r="F677" s="33">
        <v>45931.0</v>
      </c>
      <c r="G677" s="27" t="s">
        <v>187</v>
      </c>
      <c r="H677" s="27" t="s">
        <v>1487</v>
      </c>
    </row>
    <row r="678" ht="15.75" customHeight="1">
      <c r="A678" s="25" t="s">
        <v>2168</v>
      </c>
      <c r="B678" s="25" t="s">
        <v>1213</v>
      </c>
      <c r="C678" s="25" t="s">
        <v>317</v>
      </c>
      <c r="D678" s="25" t="s">
        <v>1489</v>
      </c>
      <c r="E678" s="24">
        <v>1.7</v>
      </c>
      <c r="F678" s="30">
        <v>44963.0</v>
      </c>
      <c r="G678" s="25" t="s">
        <v>187</v>
      </c>
      <c r="H678" s="25" t="s">
        <v>1493</v>
      </c>
    </row>
    <row r="679" ht="15.75" customHeight="1">
      <c r="A679" s="27" t="s">
        <v>2169</v>
      </c>
      <c r="B679" s="27" t="s">
        <v>1219</v>
      </c>
      <c r="C679" s="27" t="s">
        <v>242</v>
      </c>
      <c r="D679" s="27" t="s">
        <v>1489</v>
      </c>
      <c r="E679" s="26">
        <v>1.6</v>
      </c>
      <c r="F679" s="33">
        <v>45566.0</v>
      </c>
      <c r="G679" s="27" t="s">
        <v>181</v>
      </c>
      <c r="H679" s="27" t="s">
        <v>1487</v>
      </c>
    </row>
    <row r="680" ht="15.75" customHeight="1">
      <c r="A680" s="25" t="s">
        <v>2170</v>
      </c>
      <c r="B680" s="25" t="s">
        <v>1219</v>
      </c>
      <c r="C680" s="25" t="s">
        <v>370</v>
      </c>
      <c r="D680" s="25" t="s">
        <v>1495</v>
      </c>
      <c r="E680" s="24">
        <v>2.4</v>
      </c>
      <c r="F680" s="30">
        <v>45931.0</v>
      </c>
      <c r="G680" s="25" t="s">
        <v>187</v>
      </c>
      <c r="H680" s="25" t="s">
        <v>1487</v>
      </c>
    </row>
    <row r="681" ht="15.75" customHeight="1">
      <c r="A681" s="27" t="s">
        <v>2171</v>
      </c>
      <c r="B681" s="27" t="s">
        <v>1219</v>
      </c>
      <c r="C681" s="27" t="s">
        <v>325</v>
      </c>
      <c r="D681" s="27" t="s">
        <v>1495</v>
      </c>
      <c r="E681" s="26">
        <v>1.8</v>
      </c>
      <c r="F681" s="33">
        <v>45889.0</v>
      </c>
      <c r="G681" s="27" t="s">
        <v>187</v>
      </c>
      <c r="H681" s="27" t="s">
        <v>1496</v>
      </c>
    </row>
    <row r="682" ht="15.75" customHeight="1">
      <c r="A682" s="25" t="s">
        <v>2172</v>
      </c>
      <c r="B682" s="25" t="s">
        <v>1219</v>
      </c>
      <c r="C682" s="25" t="s">
        <v>362</v>
      </c>
      <c r="D682" s="25" t="s">
        <v>1495</v>
      </c>
      <c r="E682" s="24">
        <v>0.9</v>
      </c>
      <c r="F682" s="30">
        <v>45041.0</v>
      </c>
      <c r="G682" s="25" t="s">
        <v>187</v>
      </c>
      <c r="H682" s="25" t="s">
        <v>1496</v>
      </c>
    </row>
    <row r="683" ht="15.75" customHeight="1">
      <c r="A683" s="27" t="s">
        <v>2173</v>
      </c>
      <c r="B683" s="27" t="s">
        <v>1219</v>
      </c>
      <c r="C683" s="27" t="s">
        <v>266</v>
      </c>
      <c r="D683" s="27" t="s">
        <v>1489</v>
      </c>
      <c r="E683" s="26">
        <v>2.0</v>
      </c>
      <c r="F683" s="33">
        <v>45700.0</v>
      </c>
      <c r="G683" s="27" t="s">
        <v>187</v>
      </c>
      <c r="H683" s="27" t="s">
        <v>1487</v>
      </c>
    </row>
    <row r="684" ht="15.75" customHeight="1">
      <c r="A684" s="25" t="s">
        <v>2174</v>
      </c>
      <c r="B684" s="25" t="s">
        <v>1219</v>
      </c>
      <c r="C684" s="25" t="s">
        <v>280</v>
      </c>
      <c r="D684" s="25" t="s">
        <v>1492</v>
      </c>
      <c r="E684" s="24">
        <v>2.4</v>
      </c>
      <c r="F684" s="30">
        <v>45509.0</v>
      </c>
      <c r="G684" s="25" t="s">
        <v>187</v>
      </c>
      <c r="H684" s="25" t="s">
        <v>1496</v>
      </c>
    </row>
    <row r="685" ht="15.75" customHeight="1">
      <c r="A685" s="27" t="s">
        <v>2175</v>
      </c>
      <c r="B685" s="27" t="s">
        <v>1219</v>
      </c>
      <c r="C685" s="27" t="s">
        <v>234</v>
      </c>
      <c r="D685" s="27" t="s">
        <v>1489</v>
      </c>
      <c r="E685" s="26">
        <v>2.0</v>
      </c>
      <c r="F685" s="33">
        <v>45189.0</v>
      </c>
      <c r="G685" s="27" t="s">
        <v>187</v>
      </c>
      <c r="H685" s="27" t="s">
        <v>1496</v>
      </c>
    </row>
    <row r="686" ht="15.75" customHeight="1">
      <c r="A686" s="25" t="s">
        <v>2176</v>
      </c>
      <c r="B686" s="25" t="s">
        <v>1219</v>
      </c>
      <c r="C686" s="25" t="s">
        <v>321</v>
      </c>
      <c r="D686" s="25" t="s">
        <v>1495</v>
      </c>
      <c r="E686" s="24">
        <v>2.4</v>
      </c>
      <c r="F686" s="30">
        <v>44982.0</v>
      </c>
      <c r="G686" s="25" t="s">
        <v>187</v>
      </c>
      <c r="H686" s="25" t="s">
        <v>1487</v>
      </c>
    </row>
    <row r="687" ht="15.75" customHeight="1">
      <c r="A687" s="27" t="s">
        <v>2177</v>
      </c>
      <c r="B687" s="27" t="s">
        <v>1219</v>
      </c>
      <c r="C687" s="27" t="s">
        <v>374</v>
      </c>
      <c r="D687" s="27" t="s">
        <v>1495</v>
      </c>
      <c r="E687" s="26">
        <v>0.7</v>
      </c>
      <c r="F687" s="33">
        <v>45633.0</v>
      </c>
      <c r="G687" s="27" t="s">
        <v>187</v>
      </c>
      <c r="H687" s="27" t="s">
        <v>1496</v>
      </c>
    </row>
    <row r="688" ht="15.75" customHeight="1">
      <c r="A688" s="25" t="s">
        <v>2178</v>
      </c>
      <c r="B688" s="25" t="s">
        <v>1225</v>
      </c>
      <c r="C688" s="25" t="s">
        <v>270</v>
      </c>
      <c r="D688" s="25" t="s">
        <v>1489</v>
      </c>
      <c r="E688" s="24">
        <v>0.8</v>
      </c>
      <c r="F688" s="30">
        <v>45594.0</v>
      </c>
      <c r="G688" s="25" t="s">
        <v>181</v>
      </c>
      <c r="H688" s="25" t="s">
        <v>1493</v>
      </c>
    </row>
    <row r="689" ht="15.75" customHeight="1">
      <c r="A689" s="27" t="s">
        <v>2179</v>
      </c>
      <c r="B689" s="27" t="s">
        <v>1225</v>
      </c>
      <c r="C689" s="27" t="s">
        <v>305</v>
      </c>
      <c r="D689" s="27" t="s">
        <v>1495</v>
      </c>
      <c r="E689" s="26">
        <v>1.8</v>
      </c>
      <c r="F689" s="33">
        <v>45981.0</v>
      </c>
      <c r="G689" s="27" t="s">
        <v>187</v>
      </c>
      <c r="H689" s="27" t="s">
        <v>1496</v>
      </c>
    </row>
    <row r="690" ht="15.75" customHeight="1">
      <c r="A690" s="25" t="s">
        <v>2180</v>
      </c>
      <c r="B690" s="25" t="s">
        <v>1225</v>
      </c>
      <c r="C690" s="25" t="s">
        <v>329</v>
      </c>
      <c r="D690" s="25" t="s">
        <v>1489</v>
      </c>
      <c r="E690" s="24">
        <v>1.5</v>
      </c>
      <c r="F690" s="30">
        <v>44972.0</v>
      </c>
      <c r="G690" s="25" t="s">
        <v>187</v>
      </c>
      <c r="H690" s="25" t="s">
        <v>1496</v>
      </c>
    </row>
    <row r="691" ht="15.75" customHeight="1">
      <c r="A691" s="27" t="s">
        <v>2181</v>
      </c>
      <c r="B691" s="27" t="s">
        <v>1225</v>
      </c>
      <c r="C691" s="27" t="s">
        <v>301</v>
      </c>
      <c r="D691" s="27" t="s">
        <v>1495</v>
      </c>
      <c r="E691" s="26">
        <v>1.1</v>
      </c>
      <c r="F691" s="33">
        <v>45127.0</v>
      </c>
      <c r="G691" s="27" t="s">
        <v>187</v>
      </c>
      <c r="H691" s="27" t="s">
        <v>1496</v>
      </c>
    </row>
    <row r="692" ht="15.75" customHeight="1">
      <c r="A692" s="25" t="s">
        <v>2182</v>
      </c>
      <c r="B692" s="25" t="s">
        <v>1225</v>
      </c>
      <c r="C692" s="25" t="s">
        <v>336</v>
      </c>
      <c r="D692" s="25" t="s">
        <v>1489</v>
      </c>
      <c r="E692" s="24">
        <v>1.5</v>
      </c>
      <c r="F692" s="30">
        <v>45615.0</v>
      </c>
      <c r="G692" s="25" t="s">
        <v>187</v>
      </c>
      <c r="H692" s="25" t="s">
        <v>1496</v>
      </c>
    </row>
    <row r="693" ht="15.75" customHeight="1">
      <c r="A693" s="27" t="s">
        <v>2183</v>
      </c>
      <c r="B693" s="27" t="s">
        <v>1225</v>
      </c>
      <c r="C693" s="27" t="s">
        <v>348</v>
      </c>
      <c r="D693" s="27" t="s">
        <v>1495</v>
      </c>
      <c r="E693" s="26">
        <v>1.6</v>
      </c>
      <c r="F693" s="33">
        <v>45622.0</v>
      </c>
      <c r="G693" s="27" t="s">
        <v>187</v>
      </c>
      <c r="H693" s="27" t="s">
        <v>1493</v>
      </c>
    </row>
    <row r="694" ht="15.75" customHeight="1">
      <c r="A694" s="25" t="s">
        <v>2184</v>
      </c>
      <c r="B694" s="25" t="s">
        <v>1231</v>
      </c>
      <c r="C694" s="25" t="s">
        <v>270</v>
      </c>
      <c r="D694" s="25" t="s">
        <v>1489</v>
      </c>
      <c r="E694" s="24">
        <v>1.0</v>
      </c>
      <c r="F694" s="30">
        <v>45750.0</v>
      </c>
      <c r="G694" s="25" t="s">
        <v>181</v>
      </c>
      <c r="H694" s="25" t="s">
        <v>1493</v>
      </c>
    </row>
    <row r="695" ht="15.75" customHeight="1">
      <c r="A695" s="27" t="s">
        <v>2185</v>
      </c>
      <c r="B695" s="27" t="s">
        <v>1231</v>
      </c>
      <c r="C695" s="27" t="s">
        <v>340</v>
      </c>
      <c r="D695" s="27" t="s">
        <v>1492</v>
      </c>
      <c r="E695" s="26">
        <v>1.0</v>
      </c>
      <c r="F695" s="33">
        <v>45121.0</v>
      </c>
      <c r="G695" s="27" t="s">
        <v>187</v>
      </c>
      <c r="H695" s="27" t="s">
        <v>1487</v>
      </c>
    </row>
    <row r="696" ht="15.75" customHeight="1">
      <c r="A696" s="25" t="s">
        <v>2186</v>
      </c>
      <c r="B696" s="25" t="s">
        <v>1231</v>
      </c>
      <c r="C696" s="25" t="s">
        <v>284</v>
      </c>
      <c r="D696" s="25" t="s">
        <v>1495</v>
      </c>
      <c r="E696" s="24">
        <v>0.5</v>
      </c>
      <c r="F696" s="30">
        <v>46014.0</v>
      </c>
      <c r="G696" s="25" t="s">
        <v>187</v>
      </c>
      <c r="H696" s="25" t="s">
        <v>1496</v>
      </c>
    </row>
    <row r="697" ht="15.75" customHeight="1">
      <c r="A697" s="27" t="s">
        <v>2187</v>
      </c>
      <c r="B697" s="27" t="s">
        <v>1231</v>
      </c>
      <c r="C697" s="27" t="s">
        <v>253</v>
      </c>
      <c r="D697" s="27" t="s">
        <v>1495</v>
      </c>
      <c r="E697" s="26">
        <v>0.7</v>
      </c>
      <c r="F697" s="33">
        <v>45084.0</v>
      </c>
      <c r="G697" s="27" t="s">
        <v>187</v>
      </c>
      <c r="H697" s="27" t="s">
        <v>1487</v>
      </c>
    </row>
    <row r="698" ht="15.75" customHeight="1">
      <c r="A698" s="25" t="s">
        <v>2188</v>
      </c>
      <c r="B698" s="25" t="s">
        <v>1231</v>
      </c>
      <c r="C698" s="25" t="s">
        <v>370</v>
      </c>
      <c r="D698" s="25" t="s">
        <v>1492</v>
      </c>
      <c r="E698" s="24">
        <v>0.8</v>
      </c>
      <c r="F698" s="30">
        <v>45541.0</v>
      </c>
      <c r="G698" s="25" t="s">
        <v>187</v>
      </c>
      <c r="H698" s="25" t="s">
        <v>1496</v>
      </c>
    </row>
    <row r="699" ht="15.75" customHeight="1">
      <c r="A699" s="27" t="s">
        <v>2189</v>
      </c>
      <c r="B699" s="27" t="s">
        <v>1231</v>
      </c>
      <c r="C699" s="27" t="s">
        <v>362</v>
      </c>
      <c r="D699" s="27" t="s">
        <v>1492</v>
      </c>
      <c r="E699" s="26">
        <v>0.7</v>
      </c>
      <c r="F699" s="33">
        <v>45775.0</v>
      </c>
      <c r="G699" s="27" t="s">
        <v>187</v>
      </c>
      <c r="H699" s="27" t="s">
        <v>1496</v>
      </c>
    </row>
    <row r="700" ht="15.75" customHeight="1">
      <c r="A700" s="25" t="s">
        <v>2190</v>
      </c>
      <c r="B700" s="25" t="s">
        <v>1237</v>
      </c>
      <c r="C700" s="25" t="s">
        <v>305</v>
      </c>
      <c r="D700" s="25" t="s">
        <v>1495</v>
      </c>
      <c r="E700" s="24">
        <v>1.5</v>
      </c>
      <c r="F700" s="30">
        <v>45884.0</v>
      </c>
      <c r="G700" s="25" t="s">
        <v>181</v>
      </c>
      <c r="H700" s="25" t="s">
        <v>1496</v>
      </c>
    </row>
    <row r="701" ht="15.75" customHeight="1">
      <c r="A701" s="27" t="s">
        <v>2191</v>
      </c>
      <c r="B701" s="27" t="s">
        <v>1237</v>
      </c>
      <c r="C701" s="27" t="s">
        <v>344</v>
      </c>
      <c r="D701" s="27" t="s">
        <v>1486</v>
      </c>
      <c r="E701" s="26">
        <v>1.3</v>
      </c>
      <c r="F701" s="33">
        <v>45815.0</v>
      </c>
      <c r="G701" s="27" t="s">
        <v>187</v>
      </c>
      <c r="H701" s="27" t="s">
        <v>1487</v>
      </c>
    </row>
    <row r="702" ht="15.75" customHeight="1">
      <c r="A702" s="25" t="s">
        <v>2192</v>
      </c>
      <c r="B702" s="25" t="s">
        <v>1237</v>
      </c>
      <c r="C702" s="25" t="s">
        <v>288</v>
      </c>
      <c r="D702" s="25" t="s">
        <v>1492</v>
      </c>
      <c r="E702" s="24">
        <v>0.6</v>
      </c>
      <c r="F702" s="30">
        <v>45337.0</v>
      </c>
      <c r="G702" s="25" t="s">
        <v>187</v>
      </c>
      <c r="H702" s="25" t="s">
        <v>1496</v>
      </c>
    </row>
    <row r="703" ht="15.75" customHeight="1">
      <c r="A703" s="27" t="s">
        <v>2193</v>
      </c>
      <c r="B703" s="27" t="s">
        <v>1237</v>
      </c>
      <c r="C703" s="27" t="s">
        <v>298</v>
      </c>
      <c r="D703" s="27" t="s">
        <v>1495</v>
      </c>
      <c r="E703" s="26">
        <v>0.9</v>
      </c>
      <c r="F703" s="33">
        <v>45541.0</v>
      </c>
      <c r="G703" s="27" t="s">
        <v>187</v>
      </c>
      <c r="H703" s="27" t="s">
        <v>1496</v>
      </c>
    </row>
    <row r="704" ht="15.75" customHeight="1">
      <c r="A704" s="25" t="s">
        <v>2194</v>
      </c>
      <c r="B704" s="25" t="s">
        <v>1237</v>
      </c>
      <c r="C704" s="25" t="s">
        <v>336</v>
      </c>
      <c r="D704" s="25" t="s">
        <v>1495</v>
      </c>
      <c r="E704" s="24">
        <v>1.8</v>
      </c>
      <c r="F704" s="30">
        <v>45058.0</v>
      </c>
      <c r="G704" s="25" t="s">
        <v>187</v>
      </c>
      <c r="H704" s="25" t="s">
        <v>1487</v>
      </c>
    </row>
    <row r="705" ht="15.75" customHeight="1">
      <c r="A705" s="27" t="s">
        <v>2195</v>
      </c>
      <c r="B705" s="27" t="s">
        <v>1237</v>
      </c>
      <c r="C705" s="27" t="s">
        <v>365</v>
      </c>
      <c r="D705" s="27" t="s">
        <v>1489</v>
      </c>
      <c r="E705" s="26">
        <v>1.1</v>
      </c>
      <c r="F705" s="33">
        <v>45514.0</v>
      </c>
      <c r="G705" s="27" t="s">
        <v>187</v>
      </c>
      <c r="H705" s="27" t="s">
        <v>1487</v>
      </c>
    </row>
    <row r="706" ht="15.75" customHeight="1">
      <c r="A706" s="25" t="s">
        <v>2196</v>
      </c>
      <c r="B706" s="25" t="s">
        <v>1237</v>
      </c>
      <c r="C706" s="25" t="s">
        <v>280</v>
      </c>
      <c r="D706" s="25" t="s">
        <v>1489</v>
      </c>
      <c r="E706" s="24">
        <v>1.5</v>
      </c>
      <c r="F706" s="30">
        <v>45410.0</v>
      </c>
      <c r="G706" s="25" t="s">
        <v>187</v>
      </c>
      <c r="H706" s="25" t="s">
        <v>1496</v>
      </c>
    </row>
    <row r="707" ht="15.75" customHeight="1">
      <c r="A707" s="27" t="s">
        <v>2197</v>
      </c>
      <c r="B707" s="27" t="s">
        <v>1237</v>
      </c>
      <c r="C707" s="27" t="s">
        <v>374</v>
      </c>
      <c r="D707" s="27" t="s">
        <v>1489</v>
      </c>
      <c r="E707" s="26">
        <v>0.7</v>
      </c>
      <c r="F707" s="33">
        <v>44983.0</v>
      </c>
      <c r="G707" s="27" t="s">
        <v>187</v>
      </c>
      <c r="H707" s="27" t="s">
        <v>1493</v>
      </c>
    </row>
    <row r="708" ht="15.75" customHeight="1">
      <c r="A708" s="25" t="s">
        <v>2198</v>
      </c>
      <c r="B708" s="25" t="s">
        <v>1243</v>
      </c>
      <c r="C708" s="25" t="s">
        <v>340</v>
      </c>
      <c r="D708" s="25" t="s">
        <v>1489</v>
      </c>
      <c r="E708" s="24">
        <v>1.1</v>
      </c>
      <c r="F708" s="30">
        <v>45495.0</v>
      </c>
      <c r="G708" s="25" t="s">
        <v>181</v>
      </c>
      <c r="H708" s="25" t="s">
        <v>1487</v>
      </c>
    </row>
    <row r="709" ht="15.75" customHeight="1">
      <c r="A709" s="27" t="s">
        <v>2199</v>
      </c>
      <c r="B709" s="27" t="s">
        <v>1243</v>
      </c>
      <c r="C709" s="27" t="s">
        <v>284</v>
      </c>
      <c r="D709" s="27" t="s">
        <v>1495</v>
      </c>
      <c r="E709" s="26">
        <v>2.1</v>
      </c>
      <c r="F709" s="33">
        <v>45013.0</v>
      </c>
      <c r="G709" s="27" t="s">
        <v>187</v>
      </c>
      <c r="H709" s="27" t="s">
        <v>1487</v>
      </c>
    </row>
    <row r="710" ht="15.75" customHeight="1">
      <c r="A710" s="25" t="s">
        <v>2200</v>
      </c>
      <c r="B710" s="25" t="s">
        <v>1243</v>
      </c>
      <c r="C710" s="25" t="s">
        <v>348</v>
      </c>
      <c r="D710" s="25" t="s">
        <v>1495</v>
      </c>
      <c r="E710" s="24">
        <v>0.5</v>
      </c>
      <c r="F710" s="30">
        <v>45098.0</v>
      </c>
      <c r="G710" s="25" t="s">
        <v>187</v>
      </c>
      <c r="H710" s="25" t="s">
        <v>1496</v>
      </c>
    </row>
    <row r="711" ht="15.75" customHeight="1">
      <c r="A711" s="27" t="s">
        <v>2201</v>
      </c>
      <c r="B711" s="27" t="s">
        <v>1243</v>
      </c>
      <c r="C711" s="27" t="s">
        <v>333</v>
      </c>
      <c r="D711" s="27" t="s">
        <v>1492</v>
      </c>
      <c r="E711" s="26">
        <v>2.7</v>
      </c>
      <c r="F711" s="33">
        <v>45760.0</v>
      </c>
      <c r="G711" s="27" t="s">
        <v>187</v>
      </c>
      <c r="H711" s="27" t="s">
        <v>1496</v>
      </c>
    </row>
    <row r="712" ht="15.75" customHeight="1">
      <c r="A712" s="25" t="s">
        <v>2202</v>
      </c>
      <c r="B712" s="25" t="s">
        <v>1243</v>
      </c>
      <c r="C712" s="25" t="s">
        <v>365</v>
      </c>
      <c r="D712" s="25" t="s">
        <v>1492</v>
      </c>
      <c r="E712" s="24">
        <v>2.7</v>
      </c>
      <c r="F712" s="30">
        <v>45739.0</v>
      </c>
      <c r="G712" s="25" t="s">
        <v>187</v>
      </c>
      <c r="H712" s="25" t="s">
        <v>1487</v>
      </c>
    </row>
    <row r="713" ht="15.75" customHeight="1">
      <c r="A713" s="27" t="s">
        <v>2203</v>
      </c>
      <c r="B713" s="27" t="s">
        <v>1243</v>
      </c>
      <c r="C713" s="27" t="s">
        <v>280</v>
      </c>
      <c r="D713" s="27" t="s">
        <v>1492</v>
      </c>
      <c r="E713" s="26">
        <v>1.1</v>
      </c>
      <c r="F713" s="33">
        <v>45951.0</v>
      </c>
      <c r="G713" s="27" t="s">
        <v>187</v>
      </c>
      <c r="H713" s="27" t="s">
        <v>1493</v>
      </c>
    </row>
    <row r="714" ht="15.75" customHeight="1">
      <c r="A714" s="25" t="s">
        <v>2204</v>
      </c>
      <c r="B714" s="25" t="s">
        <v>1250</v>
      </c>
      <c r="C714" s="25" t="s">
        <v>329</v>
      </c>
      <c r="D714" s="25" t="s">
        <v>1492</v>
      </c>
      <c r="E714" s="24">
        <v>3.8</v>
      </c>
      <c r="F714" s="30">
        <v>45373.0</v>
      </c>
      <c r="G714" s="25" t="s">
        <v>181</v>
      </c>
      <c r="H714" s="25" t="s">
        <v>1493</v>
      </c>
    </row>
    <row r="715" ht="15.75" customHeight="1">
      <c r="A715" s="27" t="s">
        <v>2205</v>
      </c>
      <c r="B715" s="27" t="s">
        <v>1250</v>
      </c>
      <c r="C715" s="27" t="s">
        <v>284</v>
      </c>
      <c r="D715" s="27" t="s">
        <v>1489</v>
      </c>
      <c r="E715" s="26">
        <v>1.2</v>
      </c>
      <c r="F715" s="33">
        <v>45489.0</v>
      </c>
      <c r="G715" s="27" t="s">
        <v>187</v>
      </c>
      <c r="H715" s="27" t="s">
        <v>1496</v>
      </c>
    </row>
    <row r="716" ht="15.75" customHeight="1">
      <c r="A716" s="25" t="s">
        <v>2206</v>
      </c>
      <c r="B716" s="25" t="s">
        <v>1250</v>
      </c>
      <c r="C716" s="25" t="s">
        <v>356</v>
      </c>
      <c r="D716" s="25" t="s">
        <v>1495</v>
      </c>
      <c r="E716" s="24">
        <v>3.5</v>
      </c>
      <c r="F716" s="30">
        <v>45041.0</v>
      </c>
      <c r="G716" s="25" t="s">
        <v>187</v>
      </c>
      <c r="H716" s="25" t="s">
        <v>1496</v>
      </c>
    </row>
    <row r="717" ht="15.75" customHeight="1">
      <c r="A717" s="27" t="s">
        <v>2207</v>
      </c>
      <c r="B717" s="27" t="s">
        <v>1250</v>
      </c>
      <c r="C717" s="27" t="s">
        <v>370</v>
      </c>
      <c r="D717" s="27" t="s">
        <v>1495</v>
      </c>
      <c r="E717" s="26">
        <v>2.9</v>
      </c>
      <c r="F717" s="33">
        <v>45158.0</v>
      </c>
      <c r="G717" s="27" t="s">
        <v>187</v>
      </c>
      <c r="H717" s="27" t="s">
        <v>1496</v>
      </c>
    </row>
    <row r="718" ht="15.75" customHeight="1">
      <c r="A718" s="25" t="s">
        <v>2208</v>
      </c>
      <c r="B718" s="25" t="s">
        <v>1250</v>
      </c>
      <c r="C718" s="25" t="s">
        <v>298</v>
      </c>
      <c r="D718" s="25" t="s">
        <v>1495</v>
      </c>
      <c r="E718" s="24">
        <v>2.2</v>
      </c>
      <c r="F718" s="30">
        <v>45431.0</v>
      </c>
      <c r="G718" s="25" t="s">
        <v>187</v>
      </c>
      <c r="H718" s="25" t="s">
        <v>1496</v>
      </c>
    </row>
    <row r="719" ht="15.75" customHeight="1">
      <c r="A719" s="27" t="s">
        <v>2209</v>
      </c>
      <c r="B719" s="27" t="s">
        <v>1250</v>
      </c>
      <c r="C719" s="27" t="s">
        <v>321</v>
      </c>
      <c r="D719" s="27" t="s">
        <v>1492</v>
      </c>
      <c r="E719" s="26">
        <v>3.8</v>
      </c>
      <c r="F719" s="33">
        <v>45670.0</v>
      </c>
      <c r="G719" s="27" t="s">
        <v>187</v>
      </c>
      <c r="H719" s="27" t="s">
        <v>1496</v>
      </c>
    </row>
    <row r="720" ht="15.75" customHeight="1">
      <c r="A720" s="25" t="s">
        <v>2210</v>
      </c>
      <c r="B720" s="25" t="s">
        <v>1250</v>
      </c>
      <c r="C720" s="25" t="s">
        <v>238</v>
      </c>
      <c r="D720" s="25" t="s">
        <v>1492</v>
      </c>
      <c r="E720" s="24">
        <v>3.4</v>
      </c>
      <c r="F720" s="30">
        <v>44970.0</v>
      </c>
      <c r="G720" s="25" t="s">
        <v>187</v>
      </c>
      <c r="H720" s="25" t="s">
        <v>1487</v>
      </c>
    </row>
    <row r="721" ht="15.75" customHeight="1">
      <c r="A721" s="27" t="s">
        <v>2211</v>
      </c>
      <c r="B721" s="27" t="s">
        <v>1250</v>
      </c>
      <c r="C721" s="27" t="s">
        <v>374</v>
      </c>
      <c r="D721" s="27" t="s">
        <v>1486</v>
      </c>
      <c r="E721" s="26">
        <v>2.6</v>
      </c>
      <c r="F721" s="33">
        <v>45038.0</v>
      </c>
      <c r="G721" s="27" t="s">
        <v>187</v>
      </c>
      <c r="H721" s="27" t="s">
        <v>1487</v>
      </c>
    </row>
    <row r="722" ht="15.75" customHeight="1">
      <c r="A722" s="25" t="s">
        <v>2212</v>
      </c>
      <c r="B722" s="25" t="s">
        <v>1250</v>
      </c>
      <c r="C722" s="25" t="s">
        <v>256</v>
      </c>
      <c r="D722" s="25" t="s">
        <v>1486</v>
      </c>
      <c r="E722" s="24">
        <v>2.9</v>
      </c>
      <c r="F722" s="30">
        <v>45445.0</v>
      </c>
      <c r="G722" s="25" t="s">
        <v>187</v>
      </c>
      <c r="H722" s="25" t="s">
        <v>1487</v>
      </c>
    </row>
    <row r="723" ht="15.75" customHeight="1">
      <c r="A723" s="27" t="s">
        <v>2213</v>
      </c>
      <c r="B723" s="27" t="s">
        <v>1256</v>
      </c>
      <c r="C723" s="27" t="s">
        <v>270</v>
      </c>
      <c r="D723" s="27" t="s">
        <v>1486</v>
      </c>
      <c r="E723" s="26">
        <v>0.7</v>
      </c>
      <c r="F723" s="33">
        <v>45450.0</v>
      </c>
      <c r="G723" s="27" t="s">
        <v>181</v>
      </c>
      <c r="H723" s="27" t="s">
        <v>1496</v>
      </c>
    </row>
    <row r="724" ht="15.75" customHeight="1">
      <c r="A724" s="25" t="s">
        <v>2214</v>
      </c>
      <c r="B724" s="25" t="s">
        <v>1256</v>
      </c>
      <c r="C724" s="25" t="s">
        <v>305</v>
      </c>
      <c r="D724" s="25" t="s">
        <v>1489</v>
      </c>
      <c r="E724" s="24">
        <v>0.9</v>
      </c>
      <c r="F724" s="30">
        <v>45409.0</v>
      </c>
      <c r="G724" s="25" t="s">
        <v>187</v>
      </c>
      <c r="H724" s="25" t="s">
        <v>1496</v>
      </c>
    </row>
    <row r="725" ht="15.75" customHeight="1">
      <c r="A725" s="27" t="s">
        <v>2215</v>
      </c>
      <c r="B725" s="27" t="s">
        <v>1256</v>
      </c>
      <c r="C725" s="27" t="s">
        <v>370</v>
      </c>
      <c r="D725" s="27" t="s">
        <v>1489</v>
      </c>
      <c r="E725" s="26">
        <v>0.9</v>
      </c>
      <c r="F725" s="33">
        <v>45825.0</v>
      </c>
      <c r="G725" s="27" t="s">
        <v>187</v>
      </c>
      <c r="H725" s="27" t="s">
        <v>1487</v>
      </c>
    </row>
    <row r="726" ht="15.75" customHeight="1">
      <c r="A726" s="25" t="s">
        <v>2216</v>
      </c>
      <c r="B726" s="25" t="s">
        <v>1256</v>
      </c>
      <c r="C726" s="25" t="s">
        <v>301</v>
      </c>
      <c r="D726" s="25" t="s">
        <v>1495</v>
      </c>
      <c r="E726" s="24">
        <v>0.9</v>
      </c>
      <c r="F726" s="30">
        <v>45759.0</v>
      </c>
      <c r="G726" s="25" t="s">
        <v>187</v>
      </c>
      <c r="H726" s="25" t="s">
        <v>1493</v>
      </c>
    </row>
    <row r="727" ht="15.75" customHeight="1">
      <c r="A727" s="27" t="s">
        <v>2217</v>
      </c>
      <c r="B727" s="27" t="s">
        <v>1262</v>
      </c>
      <c r="C727" s="27" t="s">
        <v>329</v>
      </c>
      <c r="D727" s="27" t="s">
        <v>1489</v>
      </c>
      <c r="E727" s="26">
        <v>0.7</v>
      </c>
      <c r="F727" s="33">
        <v>45788.0</v>
      </c>
      <c r="G727" s="27" t="s">
        <v>181</v>
      </c>
      <c r="H727" s="27" t="s">
        <v>1487</v>
      </c>
    </row>
    <row r="728" ht="15.75" customHeight="1">
      <c r="A728" s="25" t="s">
        <v>2218</v>
      </c>
      <c r="B728" s="25" t="s">
        <v>1262</v>
      </c>
      <c r="C728" s="25" t="s">
        <v>284</v>
      </c>
      <c r="D728" s="25" t="s">
        <v>1492</v>
      </c>
      <c r="E728" s="24">
        <v>2.4</v>
      </c>
      <c r="F728" s="30">
        <v>45596.0</v>
      </c>
      <c r="G728" s="25" t="s">
        <v>187</v>
      </c>
      <c r="H728" s="25" t="s">
        <v>1496</v>
      </c>
    </row>
    <row r="729" ht="15.75" customHeight="1">
      <c r="A729" s="27" t="s">
        <v>2219</v>
      </c>
      <c r="B729" s="27" t="s">
        <v>1262</v>
      </c>
      <c r="C729" s="27" t="s">
        <v>374</v>
      </c>
      <c r="D729" s="27" t="s">
        <v>1492</v>
      </c>
      <c r="E729" s="26">
        <v>3.2</v>
      </c>
      <c r="F729" s="33">
        <v>45303.0</v>
      </c>
      <c r="G729" s="27" t="s">
        <v>187</v>
      </c>
      <c r="H729" s="27" t="s">
        <v>1487</v>
      </c>
    </row>
    <row r="730" ht="15.75" customHeight="1">
      <c r="A730" s="25" t="s">
        <v>2220</v>
      </c>
      <c r="B730" s="25" t="s">
        <v>1262</v>
      </c>
      <c r="C730" s="25" t="s">
        <v>333</v>
      </c>
      <c r="D730" s="25" t="s">
        <v>1495</v>
      </c>
      <c r="E730" s="24">
        <v>2.7</v>
      </c>
      <c r="F730" s="30">
        <v>44933.0</v>
      </c>
      <c r="G730" s="25" t="s">
        <v>187</v>
      </c>
      <c r="H730" s="25" t="s">
        <v>1496</v>
      </c>
    </row>
    <row r="731" ht="15.75" customHeight="1">
      <c r="A731" s="27" t="s">
        <v>2221</v>
      </c>
      <c r="B731" s="27" t="s">
        <v>1262</v>
      </c>
      <c r="C731" s="27" t="s">
        <v>313</v>
      </c>
      <c r="D731" s="27" t="s">
        <v>1489</v>
      </c>
      <c r="E731" s="26">
        <v>1.6</v>
      </c>
      <c r="F731" s="33">
        <v>45095.0</v>
      </c>
      <c r="G731" s="27" t="s">
        <v>187</v>
      </c>
      <c r="H731" s="27" t="s">
        <v>1493</v>
      </c>
    </row>
    <row r="732" ht="15.75" customHeight="1">
      <c r="A732" s="25" t="s">
        <v>2222</v>
      </c>
      <c r="B732" s="25" t="s">
        <v>1262</v>
      </c>
      <c r="C732" s="25" t="s">
        <v>365</v>
      </c>
      <c r="D732" s="25" t="s">
        <v>1489</v>
      </c>
      <c r="E732" s="24">
        <v>2.3</v>
      </c>
      <c r="F732" s="30">
        <v>45193.0</v>
      </c>
      <c r="G732" s="25" t="s">
        <v>187</v>
      </c>
      <c r="H732" s="25" t="s">
        <v>1487</v>
      </c>
    </row>
    <row r="733" ht="15.75" customHeight="1">
      <c r="A733" s="27" t="s">
        <v>2223</v>
      </c>
      <c r="B733" s="27" t="s">
        <v>1262</v>
      </c>
      <c r="C733" s="27" t="s">
        <v>359</v>
      </c>
      <c r="D733" s="27" t="s">
        <v>1492</v>
      </c>
      <c r="E733" s="26">
        <v>3.3</v>
      </c>
      <c r="F733" s="33">
        <v>45581.0</v>
      </c>
      <c r="G733" s="27" t="s">
        <v>187</v>
      </c>
      <c r="H733" s="27" t="s">
        <v>1496</v>
      </c>
    </row>
    <row r="734" ht="15.75" customHeight="1">
      <c r="A734" s="25" t="s">
        <v>2224</v>
      </c>
      <c r="B734" s="25" t="s">
        <v>1262</v>
      </c>
      <c r="C734" s="25" t="s">
        <v>238</v>
      </c>
      <c r="D734" s="25" t="s">
        <v>1495</v>
      </c>
      <c r="E734" s="24">
        <v>3.1</v>
      </c>
      <c r="F734" s="30">
        <v>45460.0</v>
      </c>
      <c r="G734" s="25" t="s">
        <v>187</v>
      </c>
      <c r="H734" s="25" t="s">
        <v>1493</v>
      </c>
    </row>
    <row r="735" ht="15.75" customHeight="1">
      <c r="A735" s="27" t="s">
        <v>2225</v>
      </c>
      <c r="B735" s="27" t="s">
        <v>1262</v>
      </c>
      <c r="C735" s="27" t="s">
        <v>317</v>
      </c>
      <c r="D735" s="27" t="s">
        <v>1492</v>
      </c>
      <c r="E735" s="26">
        <v>3.4</v>
      </c>
      <c r="F735" s="33">
        <v>45504.0</v>
      </c>
      <c r="G735" s="27" t="s">
        <v>187</v>
      </c>
      <c r="H735" s="27" t="s">
        <v>1493</v>
      </c>
    </row>
    <row r="736" ht="15.75" customHeight="1">
      <c r="A736" s="25" t="s">
        <v>2226</v>
      </c>
      <c r="B736" s="25" t="s">
        <v>1268</v>
      </c>
      <c r="C736" s="25" t="s">
        <v>270</v>
      </c>
      <c r="D736" s="25" t="s">
        <v>1486</v>
      </c>
      <c r="E736" s="24">
        <v>1.0</v>
      </c>
      <c r="F736" s="30">
        <v>45395.0</v>
      </c>
      <c r="G736" s="25" t="s">
        <v>181</v>
      </c>
      <c r="H736" s="25" t="s">
        <v>1493</v>
      </c>
    </row>
    <row r="737" ht="15.75" customHeight="1">
      <c r="A737" s="27" t="s">
        <v>2227</v>
      </c>
      <c r="B737" s="27" t="s">
        <v>1268</v>
      </c>
      <c r="C737" s="27" t="s">
        <v>325</v>
      </c>
      <c r="D737" s="27" t="s">
        <v>1486</v>
      </c>
      <c r="E737" s="26">
        <v>0.6</v>
      </c>
      <c r="F737" s="33">
        <v>45272.0</v>
      </c>
      <c r="G737" s="27" t="s">
        <v>187</v>
      </c>
      <c r="H737" s="27" t="s">
        <v>1493</v>
      </c>
    </row>
    <row r="738" ht="15.75" customHeight="1">
      <c r="A738" s="25" t="s">
        <v>2228</v>
      </c>
      <c r="B738" s="25" t="s">
        <v>1268</v>
      </c>
      <c r="C738" s="25" t="s">
        <v>333</v>
      </c>
      <c r="D738" s="25" t="s">
        <v>1495</v>
      </c>
      <c r="E738" s="24">
        <v>0.7</v>
      </c>
      <c r="F738" s="30">
        <v>45459.0</v>
      </c>
      <c r="G738" s="25" t="s">
        <v>187</v>
      </c>
      <c r="H738" s="25" t="s">
        <v>1493</v>
      </c>
    </row>
    <row r="739" ht="15.75" customHeight="1">
      <c r="A739" s="27" t="s">
        <v>2229</v>
      </c>
      <c r="B739" s="27" t="s">
        <v>1268</v>
      </c>
      <c r="C739" s="27" t="s">
        <v>365</v>
      </c>
      <c r="D739" s="27" t="s">
        <v>1489</v>
      </c>
      <c r="E739" s="26">
        <v>0.7</v>
      </c>
      <c r="F739" s="33">
        <v>45167.0</v>
      </c>
      <c r="G739" s="27" t="s">
        <v>187</v>
      </c>
      <c r="H739" s="27" t="s">
        <v>1493</v>
      </c>
    </row>
    <row r="740" ht="15.75" customHeight="1">
      <c r="A740" s="25" t="s">
        <v>2230</v>
      </c>
      <c r="B740" s="25" t="s">
        <v>1275</v>
      </c>
      <c r="C740" s="25" t="s">
        <v>242</v>
      </c>
      <c r="D740" s="25" t="s">
        <v>1492</v>
      </c>
      <c r="E740" s="24">
        <v>0.7</v>
      </c>
      <c r="F740" s="30">
        <v>45810.0</v>
      </c>
      <c r="G740" s="25" t="s">
        <v>181</v>
      </c>
      <c r="H740" s="25" t="s">
        <v>1493</v>
      </c>
    </row>
    <row r="741" ht="15.75" customHeight="1">
      <c r="A741" s="27" t="s">
        <v>2231</v>
      </c>
      <c r="B741" s="27" t="s">
        <v>1275</v>
      </c>
      <c r="C741" s="27" t="s">
        <v>305</v>
      </c>
      <c r="D741" s="27" t="s">
        <v>1492</v>
      </c>
      <c r="E741" s="26">
        <v>1.0</v>
      </c>
      <c r="F741" s="33">
        <v>45506.0</v>
      </c>
      <c r="G741" s="27" t="s">
        <v>187</v>
      </c>
      <c r="H741" s="27" t="s">
        <v>1487</v>
      </c>
    </row>
    <row r="742" ht="15.75" customHeight="1">
      <c r="A742" s="25" t="s">
        <v>2232</v>
      </c>
      <c r="B742" s="25" t="s">
        <v>1275</v>
      </c>
      <c r="C742" s="25" t="s">
        <v>284</v>
      </c>
      <c r="D742" s="25" t="s">
        <v>1492</v>
      </c>
      <c r="E742" s="24">
        <v>0.7</v>
      </c>
      <c r="F742" s="30">
        <v>45763.0</v>
      </c>
      <c r="G742" s="25" t="s">
        <v>187</v>
      </c>
      <c r="H742" s="25" t="s">
        <v>1493</v>
      </c>
    </row>
    <row r="743" ht="15.75" customHeight="1">
      <c r="A743" s="27" t="s">
        <v>2233</v>
      </c>
      <c r="B743" s="27" t="s">
        <v>1275</v>
      </c>
      <c r="C743" s="27" t="s">
        <v>340</v>
      </c>
      <c r="D743" s="27" t="s">
        <v>1489</v>
      </c>
      <c r="E743" s="26">
        <v>1.0</v>
      </c>
      <c r="F743" s="33">
        <v>45409.0</v>
      </c>
      <c r="G743" s="27" t="s">
        <v>187</v>
      </c>
      <c r="H743" s="27" t="s">
        <v>1487</v>
      </c>
    </row>
    <row r="744" ht="15.75" customHeight="1">
      <c r="A744" s="25" t="s">
        <v>2234</v>
      </c>
      <c r="B744" s="25" t="s">
        <v>1275</v>
      </c>
      <c r="C744" s="25" t="s">
        <v>370</v>
      </c>
      <c r="D744" s="25" t="s">
        <v>1495</v>
      </c>
      <c r="E744" s="24">
        <v>0.6</v>
      </c>
      <c r="F744" s="30">
        <v>45865.0</v>
      </c>
      <c r="G744" s="25" t="s">
        <v>187</v>
      </c>
      <c r="H744" s="25" t="s">
        <v>1493</v>
      </c>
    </row>
    <row r="745" ht="15.75" customHeight="1">
      <c r="A745" s="27" t="s">
        <v>2235</v>
      </c>
      <c r="B745" s="27" t="s">
        <v>1275</v>
      </c>
      <c r="C745" s="27" t="s">
        <v>325</v>
      </c>
      <c r="D745" s="27" t="s">
        <v>1489</v>
      </c>
      <c r="E745" s="26">
        <v>0.6</v>
      </c>
      <c r="F745" s="33">
        <v>45589.0</v>
      </c>
      <c r="G745" s="27" t="s">
        <v>187</v>
      </c>
      <c r="H745" s="27" t="s">
        <v>1487</v>
      </c>
    </row>
    <row r="746" ht="15.75" customHeight="1">
      <c r="A746" s="25" t="s">
        <v>2236</v>
      </c>
      <c r="B746" s="25" t="s">
        <v>1281</v>
      </c>
      <c r="C746" s="25" t="s">
        <v>305</v>
      </c>
      <c r="D746" s="25" t="s">
        <v>1489</v>
      </c>
      <c r="E746" s="24">
        <v>1.7</v>
      </c>
      <c r="F746" s="30">
        <v>45407.0</v>
      </c>
      <c r="G746" s="25" t="s">
        <v>181</v>
      </c>
      <c r="H746" s="25" t="s">
        <v>1496</v>
      </c>
    </row>
    <row r="747" ht="15.75" customHeight="1">
      <c r="A747" s="27" t="s">
        <v>2237</v>
      </c>
      <c r="B747" s="27" t="s">
        <v>1281</v>
      </c>
      <c r="C747" s="27" t="s">
        <v>340</v>
      </c>
      <c r="D747" s="27" t="s">
        <v>1492</v>
      </c>
      <c r="E747" s="26">
        <v>4.0</v>
      </c>
      <c r="F747" s="33">
        <v>45020.0</v>
      </c>
      <c r="G747" s="27" t="s">
        <v>187</v>
      </c>
      <c r="H747" s="27" t="s">
        <v>1493</v>
      </c>
    </row>
    <row r="748" ht="15.75" customHeight="1">
      <c r="A748" s="25" t="s">
        <v>2238</v>
      </c>
      <c r="B748" s="25" t="s">
        <v>1281</v>
      </c>
      <c r="C748" s="25" t="s">
        <v>253</v>
      </c>
      <c r="D748" s="25" t="s">
        <v>1489</v>
      </c>
      <c r="E748" s="24">
        <v>2.7</v>
      </c>
      <c r="F748" s="30">
        <v>45546.0</v>
      </c>
      <c r="G748" s="25" t="s">
        <v>187</v>
      </c>
      <c r="H748" s="25" t="s">
        <v>1496</v>
      </c>
    </row>
    <row r="749" ht="15.75" customHeight="1">
      <c r="A749" s="27" t="s">
        <v>2239</v>
      </c>
      <c r="B749" s="27" t="s">
        <v>1281</v>
      </c>
      <c r="C749" s="27" t="s">
        <v>356</v>
      </c>
      <c r="D749" s="27" t="s">
        <v>1492</v>
      </c>
      <c r="E749" s="26">
        <v>1.0</v>
      </c>
      <c r="F749" s="33">
        <v>45011.0</v>
      </c>
      <c r="G749" s="27" t="s">
        <v>187</v>
      </c>
      <c r="H749" s="27" t="s">
        <v>1487</v>
      </c>
    </row>
    <row r="750" ht="15.75" customHeight="1">
      <c r="A750" s="25" t="s">
        <v>2240</v>
      </c>
      <c r="B750" s="25" t="s">
        <v>1281</v>
      </c>
      <c r="C750" s="25" t="s">
        <v>336</v>
      </c>
      <c r="D750" s="25" t="s">
        <v>1489</v>
      </c>
      <c r="E750" s="24">
        <v>1.1</v>
      </c>
      <c r="F750" s="30">
        <v>45936.0</v>
      </c>
      <c r="G750" s="25" t="s">
        <v>187</v>
      </c>
      <c r="H750" s="25" t="s">
        <v>1496</v>
      </c>
    </row>
    <row r="751" ht="15.75" customHeight="1">
      <c r="A751" s="27" t="s">
        <v>2241</v>
      </c>
      <c r="B751" s="27" t="s">
        <v>1281</v>
      </c>
      <c r="C751" s="27" t="s">
        <v>309</v>
      </c>
      <c r="D751" s="27" t="s">
        <v>1492</v>
      </c>
      <c r="E751" s="26">
        <v>1.0</v>
      </c>
      <c r="F751" s="33">
        <v>45576.0</v>
      </c>
      <c r="G751" s="27" t="s">
        <v>187</v>
      </c>
      <c r="H751" s="27" t="s">
        <v>1487</v>
      </c>
    </row>
    <row r="752" ht="15.75" customHeight="1">
      <c r="A752" s="25" t="s">
        <v>2242</v>
      </c>
      <c r="B752" s="25" t="s">
        <v>1281</v>
      </c>
      <c r="C752" s="25" t="s">
        <v>365</v>
      </c>
      <c r="D752" s="25" t="s">
        <v>1495</v>
      </c>
      <c r="E752" s="24">
        <v>1.0</v>
      </c>
      <c r="F752" s="30">
        <v>45166.0</v>
      </c>
      <c r="G752" s="25" t="s">
        <v>187</v>
      </c>
      <c r="H752" s="25" t="s">
        <v>1496</v>
      </c>
    </row>
    <row r="753" ht="15.75" customHeight="1">
      <c r="A753" s="27" t="s">
        <v>2243</v>
      </c>
      <c r="B753" s="27" t="s">
        <v>1281</v>
      </c>
      <c r="C753" s="27" t="s">
        <v>374</v>
      </c>
      <c r="D753" s="27" t="s">
        <v>1489</v>
      </c>
      <c r="E753" s="26">
        <v>0.9</v>
      </c>
      <c r="F753" s="33">
        <v>45502.0</v>
      </c>
      <c r="G753" s="27" t="s">
        <v>187</v>
      </c>
      <c r="H753" s="27" t="s">
        <v>1487</v>
      </c>
    </row>
    <row r="754" ht="15.75" customHeight="1">
      <c r="A754" s="25" t="s">
        <v>2244</v>
      </c>
      <c r="B754" s="25" t="s">
        <v>1287</v>
      </c>
      <c r="C754" s="25" t="s">
        <v>260</v>
      </c>
      <c r="D754" s="25" t="s">
        <v>1495</v>
      </c>
      <c r="E754" s="24">
        <v>4.0</v>
      </c>
      <c r="F754" s="30">
        <v>45236.0</v>
      </c>
      <c r="G754" s="25" t="s">
        <v>181</v>
      </c>
      <c r="H754" s="25" t="s">
        <v>1487</v>
      </c>
    </row>
    <row r="755" ht="15.75" customHeight="1">
      <c r="A755" s="27" t="s">
        <v>2245</v>
      </c>
      <c r="B755" s="27" t="s">
        <v>1287</v>
      </c>
      <c r="C755" s="27" t="s">
        <v>329</v>
      </c>
      <c r="D755" s="27" t="s">
        <v>1492</v>
      </c>
      <c r="E755" s="26">
        <v>2.8</v>
      </c>
      <c r="F755" s="33">
        <v>45828.0</v>
      </c>
      <c r="G755" s="27" t="s">
        <v>187</v>
      </c>
      <c r="H755" s="27" t="s">
        <v>1493</v>
      </c>
    </row>
    <row r="756" ht="15.75" customHeight="1">
      <c r="A756" s="25" t="s">
        <v>2246</v>
      </c>
      <c r="B756" s="25" t="s">
        <v>1287</v>
      </c>
      <c r="C756" s="25" t="s">
        <v>344</v>
      </c>
      <c r="D756" s="25" t="s">
        <v>1489</v>
      </c>
      <c r="E756" s="24">
        <v>0.7</v>
      </c>
      <c r="F756" s="30">
        <v>45302.0</v>
      </c>
      <c r="G756" s="25" t="s">
        <v>187</v>
      </c>
      <c r="H756" s="25" t="s">
        <v>1493</v>
      </c>
    </row>
    <row r="757" ht="15.75" customHeight="1">
      <c r="A757" s="27" t="s">
        <v>2247</v>
      </c>
      <c r="B757" s="27" t="s">
        <v>1287</v>
      </c>
      <c r="C757" s="27" t="s">
        <v>370</v>
      </c>
      <c r="D757" s="27" t="s">
        <v>1495</v>
      </c>
      <c r="E757" s="26">
        <v>1.1</v>
      </c>
      <c r="F757" s="33">
        <v>45883.0</v>
      </c>
      <c r="G757" s="27" t="s">
        <v>187</v>
      </c>
      <c r="H757" s="27" t="s">
        <v>1496</v>
      </c>
    </row>
    <row r="758" ht="15.75" customHeight="1">
      <c r="A758" s="25" t="s">
        <v>2248</v>
      </c>
      <c r="B758" s="25" t="s">
        <v>1287</v>
      </c>
      <c r="C758" s="25" t="s">
        <v>298</v>
      </c>
      <c r="D758" s="25" t="s">
        <v>1489</v>
      </c>
      <c r="E758" s="24">
        <v>3.6</v>
      </c>
      <c r="F758" s="30">
        <v>45940.0</v>
      </c>
      <c r="G758" s="25" t="s">
        <v>187</v>
      </c>
      <c r="H758" s="25" t="s">
        <v>1493</v>
      </c>
    </row>
    <row r="759" ht="15.75" customHeight="1">
      <c r="A759" s="27" t="s">
        <v>2249</v>
      </c>
      <c r="B759" s="27" t="s">
        <v>1293</v>
      </c>
      <c r="C759" s="27" t="s">
        <v>270</v>
      </c>
      <c r="D759" s="27" t="s">
        <v>1489</v>
      </c>
      <c r="E759" s="26">
        <v>0.9</v>
      </c>
      <c r="F759" s="33">
        <v>45271.0</v>
      </c>
      <c r="G759" s="27" t="s">
        <v>181</v>
      </c>
      <c r="H759" s="27" t="s">
        <v>1487</v>
      </c>
    </row>
    <row r="760" ht="15.75" customHeight="1">
      <c r="A760" s="25" t="s">
        <v>2250</v>
      </c>
      <c r="B760" s="25" t="s">
        <v>1293</v>
      </c>
      <c r="C760" s="25" t="s">
        <v>284</v>
      </c>
      <c r="D760" s="25" t="s">
        <v>1495</v>
      </c>
      <c r="E760" s="24">
        <v>0.9</v>
      </c>
      <c r="F760" s="30">
        <v>45361.0</v>
      </c>
      <c r="G760" s="25" t="s">
        <v>187</v>
      </c>
      <c r="H760" s="25" t="s">
        <v>1487</v>
      </c>
    </row>
    <row r="761" ht="15.75" customHeight="1">
      <c r="A761" s="27" t="s">
        <v>2251</v>
      </c>
      <c r="B761" s="27" t="s">
        <v>1293</v>
      </c>
      <c r="C761" s="27" t="s">
        <v>370</v>
      </c>
      <c r="D761" s="27" t="s">
        <v>1486</v>
      </c>
      <c r="E761" s="26">
        <v>0.5</v>
      </c>
      <c r="F761" s="33">
        <v>45296.0</v>
      </c>
      <c r="G761" s="27" t="s">
        <v>187</v>
      </c>
      <c r="H761" s="27" t="s">
        <v>1496</v>
      </c>
    </row>
    <row r="762" ht="15.75" customHeight="1">
      <c r="A762" s="25" t="s">
        <v>2252</v>
      </c>
      <c r="B762" s="25" t="s">
        <v>1293</v>
      </c>
      <c r="C762" s="25" t="s">
        <v>309</v>
      </c>
      <c r="D762" s="25" t="s">
        <v>1492</v>
      </c>
      <c r="E762" s="24">
        <v>0.9</v>
      </c>
      <c r="F762" s="30">
        <v>45947.0</v>
      </c>
      <c r="G762" s="25" t="s">
        <v>187</v>
      </c>
      <c r="H762" s="25" t="s">
        <v>1487</v>
      </c>
    </row>
    <row r="763" ht="15.75" customHeight="1">
      <c r="A763" s="27" t="s">
        <v>2253</v>
      </c>
      <c r="B763" s="27" t="s">
        <v>1300</v>
      </c>
      <c r="C763" s="27" t="s">
        <v>229</v>
      </c>
      <c r="D763" s="27" t="s">
        <v>1492</v>
      </c>
      <c r="E763" s="26">
        <v>0.6</v>
      </c>
      <c r="F763" s="33">
        <v>45589.0</v>
      </c>
      <c r="G763" s="27" t="s">
        <v>181</v>
      </c>
      <c r="H763" s="27" t="s">
        <v>1493</v>
      </c>
    </row>
    <row r="764" ht="15.75" customHeight="1">
      <c r="A764" s="25" t="s">
        <v>2254</v>
      </c>
      <c r="B764" s="25" t="s">
        <v>1300</v>
      </c>
      <c r="C764" s="25" t="s">
        <v>340</v>
      </c>
      <c r="D764" s="25" t="s">
        <v>1489</v>
      </c>
      <c r="E764" s="24">
        <v>0.7</v>
      </c>
      <c r="F764" s="30">
        <v>45909.0</v>
      </c>
      <c r="G764" s="25" t="s">
        <v>187</v>
      </c>
      <c r="H764" s="25" t="s">
        <v>1496</v>
      </c>
    </row>
    <row r="765" ht="15.75" customHeight="1">
      <c r="A765" s="27" t="s">
        <v>2255</v>
      </c>
      <c r="B765" s="27" t="s">
        <v>1300</v>
      </c>
      <c r="C765" s="27" t="s">
        <v>329</v>
      </c>
      <c r="D765" s="27" t="s">
        <v>1495</v>
      </c>
      <c r="E765" s="26">
        <v>0.6</v>
      </c>
      <c r="F765" s="33">
        <v>44938.0</v>
      </c>
      <c r="G765" s="27" t="s">
        <v>187</v>
      </c>
      <c r="H765" s="27" t="s">
        <v>1496</v>
      </c>
    </row>
    <row r="766" ht="15.75" customHeight="1">
      <c r="A766" s="25" t="s">
        <v>2256</v>
      </c>
      <c r="B766" s="25" t="s">
        <v>1300</v>
      </c>
      <c r="C766" s="25" t="s">
        <v>370</v>
      </c>
      <c r="D766" s="25" t="s">
        <v>1486</v>
      </c>
      <c r="E766" s="24">
        <v>0.8</v>
      </c>
      <c r="F766" s="30">
        <v>45854.0</v>
      </c>
      <c r="G766" s="25" t="s">
        <v>187</v>
      </c>
      <c r="H766" s="25" t="s">
        <v>1496</v>
      </c>
    </row>
    <row r="767" ht="15.75" customHeight="1">
      <c r="A767" s="27" t="s">
        <v>2257</v>
      </c>
      <c r="B767" s="27" t="s">
        <v>1300</v>
      </c>
      <c r="C767" s="27" t="s">
        <v>348</v>
      </c>
      <c r="D767" s="27" t="s">
        <v>1492</v>
      </c>
      <c r="E767" s="26">
        <v>1.0</v>
      </c>
      <c r="F767" s="33">
        <v>45191.0</v>
      </c>
      <c r="G767" s="27" t="s">
        <v>187</v>
      </c>
      <c r="H767" s="27" t="s">
        <v>1493</v>
      </c>
    </row>
    <row r="768" ht="15.75" customHeight="1">
      <c r="A768" s="25" t="s">
        <v>2258</v>
      </c>
      <c r="B768" s="25" t="s">
        <v>1300</v>
      </c>
      <c r="C768" s="25" t="s">
        <v>266</v>
      </c>
      <c r="D768" s="25" t="s">
        <v>1492</v>
      </c>
      <c r="E768" s="24">
        <v>0.9</v>
      </c>
      <c r="F768" s="30">
        <v>45506.0</v>
      </c>
      <c r="G768" s="25" t="s">
        <v>187</v>
      </c>
      <c r="H768" s="25" t="s">
        <v>1496</v>
      </c>
    </row>
    <row r="769" ht="15.75" customHeight="1">
      <c r="A769" s="27" t="s">
        <v>2259</v>
      </c>
      <c r="B769" s="27" t="s">
        <v>1300</v>
      </c>
      <c r="C769" s="27" t="s">
        <v>374</v>
      </c>
      <c r="D769" s="27" t="s">
        <v>1492</v>
      </c>
      <c r="E769" s="26">
        <v>0.9</v>
      </c>
      <c r="F769" s="33">
        <v>45708.0</v>
      </c>
      <c r="G769" s="27" t="s">
        <v>187</v>
      </c>
      <c r="H769" s="27" t="s">
        <v>1493</v>
      </c>
    </row>
    <row r="770" ht="15.75" customHeight="1">
      <c r="A770" s="25" t="s">
        <v>2260</v>
      </c>
      <c r="B770" s="25" t="s">
        <v>1306</v>
      </c>
      <c r="C770" s="25" t="s">
        <v>260</v>
      </c>
      <c r="D770" s="25" t="s">
        <v>1489</v>
      </c>
      <c r="E770" s="24">
        <v>1.6</v>
      </c>
      <c r="F770" s="30">
        <v>45242.0</v>
      </c>
      <c r="G770" s="25" t="s">
        <v>181</v>
      </c>
      <c r="H770" s="25" t="s">
        <v>1493</v>
      </c>
    </row>
    <row r="771" ht="15.75" customHeight="1">
      <c r="A771" s="27" t="s">
        <v>2261</v>
      </c>
      <c r="B771" s="27" t="s">
        <v>1306</v>
      </c>
      <c r="C771" s="27" t="s">
        <v>344</v>
      </c>
      <c r="D771" s="27" t="s">
        <v>1489</v>
      </c>
      <c r="E771" s="26">
        <v>1.7</v>
      </c>
      <c r="F771" s="33">
        <v>45562.0</v>
      </c>
      <c r="G771" s="27" t="s">
        <v>187</v>
      </c>
      <c r="H771" s="27" t="s">
        <v>1487</v>
      </c>
    </row>
    <row r="772" ht="15.75" customHeight="1">
      <c r="A772" s="25" t="s">
        <v>2262</v>
      </c>
      <c r="B772" s="25" t="s">
        <v>1306</v>
      </c>
      <c r="C772" s="25" t="s">
        <v>370</v>
      </c>
      <c r="D772" s="25" t="s">
        <v>1495</v>
      </c>
      <c r="E772" s="24">
        <v>1.0</v>
      </c>
      <c r="F772" s="30">
        <v>45123.0</v>
      </c>
      <c r="G772" s="25" t="s">
        <v>187</v>
      </c>
      <c r="H772" s="25" t="s">
        <v>1496</v>
      </c>
    </row>
    <row r="773" ht="15.75" customHeight="1">
      <c r="A773" s="27" t="s">
        <v>2263</v>
      </c>
      <c r="B773" s="27" t="s">
        <v>1306</v>
      </c>
      <c r="C773" s="27" t="s">
        <v>365</v>
      </c>
      <c r="D773" s="27" t="s">
        <v>1495</v>
      </c>
      <c r="E773" s="26">
        <v>1.2</v>
      </c>
      <c r="F773" s="33">
        <v>45721.0</v>
      </c>
      <c r="G773" s="27" t="s">
        <v>187</v>
      </c>
      <c r="H773" s="27" t="s">
        <v>1496</v>
      </c>
    </row>
    <row r="774" ht="15.75" customHeight="1">
      <c r="A774" s="25" t="s">
        <v>2264</v>
      </c>
      <c r="B774" s="25" t="s">
        <v>1306</v>
      </c>
      <c r="C774" s="25" t="s">
        <v>321</v>
      </c>
      <c r="D774" s="25" t="s">
        <v>1489</v>
      </c>
      <c r="E774" s="24">
        <v>1.4</v>
      </c>
      <c r="F774" s="30">
        <v>45111.0</v>
      </c>
      <c r="G774" s="25" t="s">
        <v>187</v>
      </c>
      <c r="H774" s="25" t="s">
        <v>1496</v>
      </c>
    </row>
    <row r="775" ht="15.75" customHeight="1">
      <c r="A775" s="27" t="s">
        <v>2265</v>
      </c>
      <c r="B775" s="27" t="s">
        <v>1306</v>
      </c>
      <c r="C775" s="27" t="s">
        <v>317</v>
      </c>
      <c r="D775" s="27" t="s">
        <v>1492</v>
      </c>
      <c r="E775" s="26">
        <v>1.4</v>
      </c>
      <c r="F775" s="33">
        <v>45816.0</v>
      </c>
      <c r="G775" s="27" t="s">
        <v>187</v>
      </c>
      <c r="H775" s="27" t="s">
        <v>1487</v>
      </c>
    </row>
    <row r="776" ht="15.75" customHeight="1">
      <c r="A776" s="25" t="s">
        <v>2266</v>
      </c>
      <c r="B776" s="25" t="s">
        <v>1306</v>
      </c>
      <c r="C776" s="25" t="s">
        <v>273</v>
      </c>
      <c r="D776" s="25" t="s">
        <v>1495</v>
      </c>
      <c r="E776" s="24">
        <v>0.6</v>
      </c>
      <c r="F776" s="30">
        <v>45626.0</v>
      </c>
      <c r="G776" s="25" t="s">
        <v>187</v>
      </c>
      <c r="H776" s="25" t="s">
        <v>1496</v>
      </c>
    </row>
    <row r="777" ht="15.75" customHeight="1">
      <c r="A777" s="27" t="s">
        <v>2267</v>
      </c>
      <c r="B777" s="27" t="s">
        <v>1312</v>
      </c>
      <c r="C777" s="27" t="s">
        <v>305</v>
      </c>
      <c r="D777" s="27" t="s">
        <v>1495</v>
      </c>
      <c r="E777" s="26">
        <v>0.6</v>
      </c>
      <c r="F777" s="33">
        <v>45905.0</v>
      </c>
      <c r="G777" s="27" t="s">
        <v>181</v>
      </c>
      <c r="H777" s="27" t="s">
        <v>1496</v>
      </c>
    </row>
    <row r="778" ht="15.75" customHeight="1">
      <c r="A778" s="25" t="s">
        <v>2268</v>
      </c>
      <c r="B778" s="25" t="s">
        <v>1312</v>
      </c>
      <c r="C778" s="25" t="s">
        <v>301</v>
      </c>
      <c r="D778" s="25" t="s">
        <v>1489</v>
      </c>
      <c r="E778" s="24">
        <v>0.7</v>
      </c>
      <c r="F778" s="30">
        <v>45542.0</v>
      </c>
      <c r="G778" s="25" t="s">
        <v>187</v>
      </c>
      <c r="H778" s="25" t="s">
        <v>1493</v>
      </c>
    </row>
    <row r="779" ht="15.75" customHeight="1">
      <c r="A779" s="27" t="s">
        <v>2269</v>
      </c>
      <c r="B779" s="27" t="s">
        <v>1312</v>
      </c>
      <c r="C779" s="27" t="s">
        <v>325</v>
      </c>
      <c r="D779" s="27" t="s">
        <v>1495</v>
      </c>
      <c r="E779" s="26">
        <v>0.9</v>
      </c>
      <c r="F779" s="33">
        <v>45024.0</v>
      </c>
      <c r="G779" s="27" t="s">
        <v>187</v>
      </c>
      <c r="H779" s="27" t="s">
        <v>1487</v>
      </c>
    </row>
    <row r="780" ht="15.75" customHeight="1">
      <c r="A780" s="25" t="s">
        <v>2270</v>
      </c>
      <c r="B780" s="25" t="s">
        <v>1312</v>
      </c>
      <c r="C780" s="25" t="s">
        <v>362</v>
      </c>
      <c r="D780" s="25" t="s">
        <v>1489</v>
      </c>
      <c r="E780" s="24">
        <v>0.6</v>
      </c>
      <c r="F780" s="30">
        <v>45147.0</v>
      </c>
      <c r="G780" s="25" t="s">
        <v>187</v>
      </c>
      <c r="H780" s="25" t="s">
        <v>1487</v>
      </c>
    </row>
    <row r="781" ht="15.75" customHeight="1">
      <c r="A781" s="27" t="s">
        <v>2271</v>
      </c>
      <c r="B781" s="27" t="s">
        <v>1312</v>
      </c>
      <c r="C781" s="27" t="s">
        <v>309</v>
      </c>
      <c r="D781" s="27" t="s">
        <v>1495</v>
      </c>
      <c r="E781" s="26">
        <v>0.6</v>
      </c>
      <c r="F781" s="33">
        <v>45445.0</v>
      </c>
      <c r="G781" s="27" t="s">
        <v>187</v>
      </c>
      <c r="H781" s="27" t="s">
        <v>1496</v>
      </c>
    </row>
    <row r="782" ht="15.75" customHeight="1">
      <c r="A782" s="25" t="s">
        <v>2272</v>
      </c>
      <c r="B782" s="25" t="s">
        <v>1312</v>
      </c>
      <c r="C782" s="25" t="s">
        <v>333</v>
      </c>
      <c r="D782" s="25" t="s">
        <v>1489</v>
      </c>
      <c r="E782" s="24">
        <v>0.6</v>
      </c>
      <c r="F782" s="30">
        <v>45958.0</v>
      </c>
      <c r="G782" s="25" t="s">
        <v>187</v>
      </c>
      <c r="H782" s="25" t="s">
        <v>1493</v>
      </c>
    </row>
    <row r="783" ht="15.75" customHeight="1">
      <c r="A783" s="27" t="s">
        <v>2273</v>
      </c>
      <c r="B783" s="27" t="s">
        <v>1318</v>
      </c>
      <c r="C783" s="27" t="s">
        <v>305</v>
      </c>
      <c r="D783" s="27" t="s">
        <v>1495</v>
      </c>
      <c r="E783" s="26">
        <v>1.6</v>
      </c>
      <c r="F783" s="33">
        <v>45569.0</v>
      </c>
      <c r="G783" s="27" t="s">
        <v>181</v>
      </c>
      <c r="H783" s="27" t="s">
        <v>1487</v>
      </c>
    </row>
    <row r="784" ht="15.75" customHeight="1">
      <c r="A784" s="25" t="s">
        <v>2274</v>
      </c>
      <c r="B784" s="25" t="s">
        <v>1318</v>
      </c>
      <c r="C784" s="25" t="s">
        <v>370</v>
      </c>
      <c r="D784" s="25" t="s">
        <v>1492</v>
      </c>
      <c r="E784" s="24">
        <v>1.6</v>
      </c>
      <c r="F784" s="30">
        <v>45848.0</v>
      </c>
      <c r="G784" s="25" t="s">
        <v>187</v>
      </c>
      <c r="H784" s="25" t="s">
        <v>1487</v>
      </c>
    </row>
    <row r="785" ht="15.75" customHeight="1">
      <c r="A785" s="27" t="s">
        <v>2275</v>
      </c>
      <c r="B785" s="27" t="s">
        <v>1318</v>
      </c>
      <c r="C785" s="27" t="s">
        <v>325</v>
      </c>
      <c r="D785" s="27" t="s">
        <v>1492</v>
      </c>
      <c r="E785" s="26">
        <v>1.0</v>
      </c>
      <c r="F785" s="33">
        <v>45310.0</v>
      </c>
      <c r="G785" s="27" t="s">
        <v>187</v>
      </c>
      <c r="H785" s="27" t="s">
        <v>1493</v>
      </c>
    </row>
    <row r="786" ht="15.75" customHeight="1">
      <c r="A786" s="25" t="s">
        <v>2276</v>
      </c>
      <c r="B786" s="25" t="s">
        <v>1318</v>
      </c>
      <c r="C786" s="25" t="s">
        <v>333</v>
      </c>
      <c r="D786" s="25" t="s">
        <v>1489</v>
      </c>
      <c r="E786" s="24">
        <v>1.6</v>
      </c>
      <c r="F786" s="30">
        <v>45458.0</v>
      </c>
      <c r="G786" s="25" t="s">
        <v>187</v>
      </c>
      <c r="H786" s="25" t="s">
        <v>1487</v>
      </c>
    </row>
    <row r="787" ht="15.75" customHeight="1">
      <c r="A787" s="27" t="s">
        <v>2277</v>
      </c>
      <c r="B787" s="27" t="s">
        <v>1324</v>
      </c>
      <c r="C787" s="27" t="s">
        <v>344</v>
      </c>
      <c r="D787" s="27" t="s">
        <v>1492</v>
      </c>
      <c r="E787" s="26">
        <v>0.7</v>
      </c>
      <c r="F787" s="33">
        <v>45756.0</v>
      </c>
      <c r="G787" s="27" t="s">
        <v>181</v>
      </c>
      <c r="H787" s="27" t="s">
        <v>1487</v>
      </c>
    </row>
    <row r="788" ht="15.75" customHeight="1">
      <c r="A788" s="25" t="s">
        <v>2278</v>
      </c>
      <c r="B788" s="25" t="s">
        <v>1324</v>
      </c>
      <c r="C788" s="25" t="s">
        <v>365</v>
      </c>
      <c r="D788" s="25" t="s">
        <v>1486</v>
      </c>
      <c r="E788" s="24">
        <v>0.8</v>
      </c>
      <c r="F788" s="30">
        <v>45923.0</v>
      </c>
      <c r="G788" s="25" t="s">
        <v>187</v>
      </c>
      <c r="H788" s="25" t="s">
        <v>1496</v>
      </c>
    </row>
    <row r="789" ht="15.75" customHeight="1">
      <c r="A789" s="27" t="s">
        <v>2279</v>
      </c>
      <c r="B789" s="27" t="s">
        <v>1324</v>
      </c>
      <c r="C789" s="27" t="s">
        <v>359</v>
      </c>
      <c r="D789" s="27" t="s">
        <v>1495</v>
      </c>
      <c r="E789" s="26">
        <v>1.0</v>
      </c>
      <c r="F789" s="33">
        <v>45665.0</v>
      </c>
      <c r="G789" s="27" t="s">
        <v>187</v>
      </c>
      <c r="H789" s="27" t="s">
        <v>1487</v>
      </c>
    </row>
    <row r="790" ht="15.75" customHeight="1">
      <c r="A790" s="25" t="s">
        <v>2280</v>
      </c>
      <c r="B790" s="25" t="s">
        <v>1324</v>
      </c>
      <c r="C790" s="25" t="s">
        <v>321</v>
      </c>
      <c r="D790" s="25" t="s">
        <v>1492</v>
      </c>
      <c r="E790" s="24">
        <v>0.8</v>
      </c>
      <c r="F790" s="30">
        <v>45735.0</v>
      </c>
      <c r="G790" s="25" t="s">
        <v>187</v>
      </c>
      <c r="H790" s="25" t="s">
        <v>1496</v>
      </c>
    </row>
    <row r="791" ht="15.75" customHeight="1">
      <c r="A791" s="27" t="s">
        <v>2281</v>
      </c>
      <c r="B791" s="27" t="s">
        <v>1324</v>
      </c>
      <c r="C791" s="27" t="s">
        <v>374</v>
      </c>
      <c r="D791" s="27" t="s">
        <v>1489</v>
      </c>
      <c r="E791" s="26">
        <v>0.6</v>
      </c>
      <c r="F791" s="33">
        <v>45317.0</v>
      </c>
      <c r="G791" s="27" t="s">
        <v>187</v>
      </c>
      <c r="H791" s="27" t="s">
        <v>1493</v>
      </c>
    </row>
    <row r="792" ht="15.75" customHeight="1">
      <c r="A792" s="25" t="s">
        <v>2282</v>
      </c>
      <c r="B792" s="25" t="s">
        <v>1330</v>
      </c>
      <c r="C792" s="25" t="s">
        <v>344</v>
      </c>
      <c r="D792" s="25" t="s">
        <v>1489</v>
      </c>
      <c r="E792" s="24">
        <v>1.8</v>
      </c>
      <c r="F792" s="30">
        <v>45317.0</v>
      </c>
      <c r="G792" s="25" t="s">
        <v>181</v>
      </c>
      <c r="H792" s="25" t="s">
        <v>1493</v>
      </c>
    </row>
    <row r="793" ht="15.75" customHeight="1">
      <c r="A793" s="27" t="s">
        <v>2283</v>
      </c>
      <c r="B793" s="27" t="s">
        <v>1330</v>
      </c>
      <c r="C793" s="27" t="s">
        <v>253</v>
      </c>
      <c r="D793" s="27" t="s">
        <v>1489</v>
      </c>
      <c r="E793" s="26">
        <v>1.2</v>
      </c>
      <c r="F793" s="33">
        <v>45897.0</v>
      </c>
      <c r="G793" s="27" t="s">
        <v>187</v>
      </c>
      <c r="H793" s="27" t="s">
        <v>1496</v>
      </c>
    </row>
    <row r="794" ht="15.75" customHeight="1">
      <c r="A794" s="25" t="s">
        <v>2284</v>
      </c>
      <c r="B794" s="25" t="s">
        <v>1330</v>
      </c>
      <c r="C794" s="25" t="s">
        <v>370</v>
      </c>
      <c r="D794" s="25" t="s">
        <v>1489</v>
      </c>
      <c r="E794" s="24">
        <v>0.7</v>
      </c>
      <c r="F794" s="30">
        <v>45239.0</v>
      </c>
      <c r="G794" s="25" t="s">
        <v>187</v>
      </c>
      <c r="H794" s="25" t="s">
        <v>1487</v>
      </c>
    </row>
    <row r="795" ht="15.75" customHeight="1">
      <c r="A795" s="27" t="s">
        <v>2285</v>
      </c>
      <c r="B795" s="27" t="s">
        <v>1330</v>
      </c>
      <c r="C795" s="27" t="s">
        <v>309</v>
      </c>
      <c r="D795" s="27" t="s">
        <v>1492</v>
      </c>
      <c r="E795" s="26">
        <v>1.9</v>
      </c>
      <c r="F795" s="33">
        <v>45892.0</v>
      </c>
      <c r="G795" s="27" t="s">
        <v>187</v>
      </c>
      <c r="H795" s="27" t="s">
        <v>1493</v>
      </c>
    </row>
    <row r="796" ht="15.75" customHeight="1">
      <c r="A796" s="25" t="s">
        <v>2286</v>
      </c>
      <c r="B796" s="25" t="s">
        <v>1330</v>
      </c>
      <c r="C796" s="25" t="s">
        <v>365</v>
      </c>
      <c r="D796" s="25" t="s">
        <v>1492</v>
      </c>
      <c r="E796" s="24">
        <v>1.4</v>
      </c>
      <c r="F796" s="30">
        <v>45339.0</v>
      </c>
      <c r="G796" s="25" t="s">
        <v>187</v>
      </c>
      <c r="H796" s="25" t="s">
        <v>1496</v>
      </c>
    </row>
    <row r="797" ht="15.75" customHeight="1">
      <c r="A797" s="27" t="s">
        <v>2287</v>
      </c>
      <c r="B797" s="27" t="s">
        <v>1330</v>
      </c>
      <c r="C797" s="27" t="s">
        <v>321</v>
      </c>
      <c r="D797" s="27" t="s">
        <v>1495</v>
      </c>
      <c r="E797" s="26">
        <v>1.8</v>
      </c>
      <c r="F797" s="33">
        <v>45031.0</v>
      </c>
      <c r="G797" s="27" t="s">
        <v>187</v>
      </c>
      <c r="H797" s="27" t="s">
        <v>1496</v>
      </c>
    </row>
    <row r="798" ht="15.75" customHeight="1">
      <c r="A798" s="25" t="s">
        <v>2288</v>
      </c>
      <c r="B798" s="25" t="s">
        <v>1330</v>
      </c>
      <c r="C798" s="25" t="s">
        <v>353</v>
      </c>
      <c r="D798" s="25" t="s">
        <v>1489</v>
      </c>
      <c r="E798" s="24">
        <v>1.4</v>
      </c>
      <c r="F798" s="30">
        <v>45811.0</v>
      </c>
      <c r="G798" s="25" t="s">
        <v>187</v>
      </c>
      <c r="H798" s="25" t="s">
        <v>1496</v>
      </c>
    </row>
    <row r="799" ht="15.75" customHeight="1">
      <c r="A799" s="27" t="s">
        <v>2289</v>
      </c>
      <c r="B799" s="27" t="s">
        <v>1336</v>
      </c>
      <c r="C799" s="27" t="s">
        <v>370</v>
      </c>
      <c r="D799" s="27" t="s">
        <v>1492</v>
      </c>
      <c r="E799" s="26">
        <v>0.2</v>
      </c>
      <c r="F799" s="33">
        <v>45791.0</v>
      </c>
      <c r="G799" s="27" t="s">
        <v>181</v>
      </c>
      <c r="H799" s="27" t="s">
        <v>1487</v>
      </c>
    </row>
    <row r="800" ht="15.75" customHeight="1">
      <c r="A800" s="25" t="s">
        <v>2290</v>
      </c>
      <c r="B800" s="25" t="s">
        <v>1336</v>
      </c>
      <c r="C800" s="25" t="s">
        <v>298</v>
      </c>
      <c r="D800" s="25" t="s">
        <v>1489</v>
      </c>
      <c r="E800" s="24">
        <v>0.5</v>
      </c>
      <c r="F800" s="30">
        <v>45781.0</v>
      </c>
      <c r="G800" s="25" t="s">
        <v>187</v>
      </c>
      <c r="H800" s="25" t="s">
        <v>1496</v>
      </c>
    </row>
    <row r="801" ht="15.75" customHeight="1">
      <c r="A801" s="27" t="s">
        <v>2291</v>
      </c>
      <c r="B801" s="27" t="s">
        <v>1336</v>
      </c>
      <c r="C801" s="27" t="s">
        <v>333</v>
      </c>
      <c r="D801" s="27" t="s">
        <v>1489</v>
      </c>
      <c r="E801" s="26">
        <v>0.2</v>
      </c>
      <c r="F801" s="33">
        <v>45637.0</v>
      </c>
      <c r="G801" s="27" t="s">
        <v>187</v>
      </c>
      <c r="H801" s="27" t="s">
        <v>1496</v>
      </c>
    </row>
    <row r="802" ht="15.75" customHeight="1">
      <c r="A802" s="25" t="s">
        <v>2292</v>
      </c>
      <c r="B802" s="25" t="s">
        <v>1336</v>
      </c>
      <c r="C802" s="25" t="s">
        <v>313</v>
      </c>
      <c r="D802" s="25" t="s">
        <v>1492</v>
      </c>
      <c r="E802" s="24">
        <v>0.5</v>
      </c>
      <c r="F802" s="30">
        <v>45516.0</v>
      </c>
      <c r="G802" s="25" t="s">
        <v>187</v>
      </c>
      <c r="H802" s="25" t="s">
        <v>1487</v>
      </c>
    </row>
    <row r="803" ht="15.75" customHeight="1">
      <c r="A803" s="27" t="s">
        <v>2293</v>
      </c>
      <c r="B803" s="27" t="s">
        <v>1336</v>
      </c>
      <c r="C803" s="27" t="s">
        <v>321</v>
      </c>
      <c r="D803" s="27" t="s">
        <v>1489</v>
      </c>
      <c r="E803" s="26">
        <v>0.3</v>
      </c>
      <c r="F803" s="33">
        <v>45402.0</v>
      </c>
      <c r="G803" s="27" t="s">
        <v>187</v>
      </c>
      <c r="H803" s="27" t="s">
        <v>1487</v>
      </c>
    </row>
    <row r="804" ht="15.75" customHeight="1">
      <c r="A804" s="25" t="s">
        <v>2294</v>
      </c>
      <c r="B804" s="25" t="s">
        <v>1342</v>
      </c>
      <c r="C804" s="25" t="s">
        <v>340</v>
      </c>
      <c r="D804" s="25" t="s">
        <v>1492</v>
      </c>
      <c r="E804" s="24">
        <v>2.9</v>
      </c>
      <c r="F804" s="30">
        <v>45664.0</v>
      </c>
      <c r="G804" s="25" t="s">
        <v>181</v>
      </c>
      <c r="H804" s="25" t="s">
        <v>1496</v>
      </c>
    </row>
    <row r="805" ht="15.75" customHeight="1">
      <c r="A805" s="27" t="s">
        <v>2295</v>
      </c>
      <c r="B805" s="27" t="s">
        <v>1342</v>
      </c>
      <c r="C805" s="27" t="s">
        <v>305</v>
      </c>
      <c r="D805" s="27" t="s">
        <v>1492</v>
      </c>
      <c r="E805" s="26">
        <v>2.6</v>
      </c>
      <c r="F805" s="33">
        <v>45351.0</v>
      </c>
      <c r="G805" s="27" t="s">
        <v>187</v>
      </c>
      <c r="H805" s="27" t="s">
        <v>1496</v>
      </c>
    </row>
    <row r="806" ht="15.75" customHeight="1">
      <c r="A806" s="25" t="s">
        <v>2296</v>
      </c>
      <c r="B806" s="25" t="s">
        <v>1342</v>
      </c>
      <c r="C806" s="25" t="s">
        <v>370</v>
      </c>
      <c r="D806" s="25" t="s">
        <v>1492</v>
      </c>
      <c r="E806" s="24">
        <v>0.7</v>
      </c>
      <c r="F806" s="30">
        <v>45915.0</v>
      </c>
      <c r="G806" s="25" t="s">
        <v>187</v>
      </c>
      <c r="H806" s="25" t="s">
        <v>1493</v>
      </c>
    </row>
    <row r="807" ht="15.75" customHeight="1">
      <c r="A807" s="27" t="s">
        <v>2297</v>
      </c>
      <c r="B807" s="27" t="s">
        <v>1342</v>
      </c>
      <c r="C807" s="27" t="s">
        <v>336</v>
      </c>
      <c r="D807" s="27" t="s">
        <v>1489</v>
      </c>
      <c r="E807" s="26">
        <v>0.9</v>
      </c>
      <c r="F807" s="33">
        <v>45934.0</v>
      </c>
      <c r="G807" s="27" t="s">
        <v>187</v>
      </c>
      <c r="H807" s="27" t="s">
        <v>1493</v>
      </c>
    </row>
    <row r="808" ht="15.75" customHeight="1">
      <c r="A808" s="25" t="s">
        <v>2298</v>
      </c>
      <c r="B808" s="25" t="s">
        <v>1342</v>
      </c>
      <c r="C808" s="25" t="s">
        <v>266</v>
      </c>
      <c r="D808" s="25" t="s">
        <v>1492</v>
      </c>
      <c r="E808" s="24">
        <v>2.9</v>
      </c>
      <c r="F808" s="30">
        <v>45938.0</v>
      </c>
      <c r="G808" s="25" t="s">
        <v>187</v>
      </c>
      <c r="H808" s="25" t="s">
        <v>1496</v>
      </c>
    </row>
    <row r="809" ht="15.75" customHeight="1">
      <c r="A809" s="27" t="s">
        <v>2299</v>
      </c>
      <c r="B809" s="27" t="s">
        <v>1342</v>
      </c>
      <c r="C809" s="27" t="s">
        <v>365</v>
      </c>
      <c r="D809" s="27" t="s">
        <v>1489</v>
      </c>
      <c r="E809" s="26">
        <v>1.9</v>
      </c>
      <c r="F809" s="33">
        <v>44964.0</v>
      </c>
      <c r="G809" s="27" t="s">
        <v>187</v>
      </c>
      <c r="H809" s="27" t="s">
        <v>1496</v>
      </c>
    </row>
    <row r="810" ht="15.75" customHeight="1">
      <c r="A810" s="25" t="s">
        <v>2300</v>
      </c>
      <c r="B810" s="25" t="s">
        <v>1342</v>
      </c>
      <c r="C810" s="25" t="s">
        <v>359</v>
      </c>
      <c r="D810" s="25" t="s">
        <v>1492</v>
      </c>
      <c r="E810" s="24">
        <v>1.4</v>
      </c>
      <c r="F810" s="30">
        <v>45251.0</v>
      </c>
      <c r="G810" s="25" t="s">
        <v>187</v>
      </c>
      <c r="H810" s="25" t="s">
        <v>1493</v>
      </c>
    </row>
    <row r="811" ht="15.75" customHeight="1">
      <c r="A811" s="27" t="s">
        <v>2301</v>
      </c>
      <c r="B811" s="27" t="s">
        <v>1342</v>
      </c>
      <c r="C811" s="27" t="s">
        <v>295</v>
      </c>
      <c r="D811" s="27" t="s">
        <v>1492</v>
      </c>
      <c r="E811" s="26">
        <v>2.7</v>
      </c>
      <c r="F811" s="33">
        <v>44992.0</v>
      </c>
      <c r="G811" s="27" t="s">
        <v>187</v>
      </c>
      <c r="H811" s="27" t="s">
        <v>1493</v>
      </c>
    </row>
    <row r="812" ht="15.75" customHeight="1">
      <c r="A812" s="25" t="s">
        <v>2302</v>
      </c>
      <c r="B812" s="25" t="s">
        <v>1348</v>
      </c>
      <c r="C812" s="25" t="s">
        <v>242</v>
      </c>
      <c r="D812" s="25" t="s">
        <v>1492</v>
      </c>
      <c r="E812" s="24">
        <v>1.7</v>
      </c>
      <c r="F812" s="30">
        <v>45474.0</v>
      </c>
      <c r="G812" s="25" t="s">
        <v>181</v>
      </c>
      <c r="H812" s="25" t="s">
        <v>1493</v>
      </c>
    </row>
    <row r="813" ht="15.75" customHeight="1">
      <c r="A813" s="27" t="s">
        <v>2303</v>
      </c>
      <c r="B813" s="27" t="s">
        <v>1348</v>
      </c>
      <c r="C813" s="27" t="s">
        <v>370</v>
      </c>
      <c r="D813" s="27" t="s">
        <v>1492</v>
      </c>
      <c r="E813" s="26">
        <v>1.8</v>
      </c>
      <c r="F813" s="33">
        <v>45140.0</v>
      </c>
      <c r="G813" s="27" t="s">
        <v>187</v>
      </c>
      <c r="H813" s="27" t="s">
        <v>1487</v>
      </c>
    </row>
    <row r="814" ht="15.75" customHeight="1">
      <c r="A814" s="25" t="s">
        <v>2304</v>
      </c>
      <c r="B814" s="25" t="s">
        <v>1348</v>
      </c>
      <c r="C814" s="25" t="s">
        <v>298</v>
      </c>
      <c r="D814" s="25" t="s">
        <v>1489</v>
      </c>
      <c r="E814" s="24">
        <v>1.9</v>
      </c>
      <c r="F814" s="30">
        <v>45863.0</v>
      </c>
      <c r="G814" s="25" t="s">
        <v>187</v>
      </c>
      <c r="H814" s="25" t="s">
        <v>1493</v>
      </c>
    </row>
    <row r="815" ht="15.75" customHeight="1">
      <c r="A815" s="27" t="s">
        <v>2305</v>
      </c>
      <c r="B815" s="27" t="s">
        <v>1348</v>
      </c>
      <c r="C815" s="27" t="s">
        <v>336</v>
      </c>
      <c r="D815" s="27" t="s">
        <v>1486</v>
      </c>
      <c r="E815" s="26">
        <v>1.7</v>
      </c>
      <c r="F815" s="33">
        <v>45135.0</v>
      </c>
      <c r="G815" s="27" t="s">
        <v>187</v>
      </c>
      <c r="H815" s="27" t="s">
        <v>1487</v>
      </c>
    </row>
    <row r="816" ht="15.75" customHeight="1">
      <c r="A816" s="25" t="s">
        <v>2306</v>
      </c>
      <c r="B816" s="25" t="s">
        <v>1348</v>
      </c>
      <c r="C816" s="25" t="s">
        <v>321</v>
      </c>
      <c r="D816" s="25" t="s">
        <v>1489</v>
      </c>
      <c r="E816" s="24">
        <v>0.7</v>
      </c>
      <c r="F816" s="30">
        <v>45168.0</v>
      </c>
      <c r="G816" s="25" t="s">
        <v>187</v>
      </c>
      <c r="H816" s="25" t="s">
        <v>1493</v>
      </c>
    </row>
    <row r="817" ht="15.75" customHeight="1">
      <c r="A817" s="27" t="s">
        <v>2307</v>
      </c>
      <c r="B817" s="27" t="s">
        <v>1348</v>
      </c>
      <c r="C817" s="27" t="s">
        <v>374</v>
      </c>
      <c r="D817" s="27" t="s">
        <v>1492</v>
      </c>
      <c r="E817" s="26">
        <v>0.7</v>
      </c>
      <c r="F817" s="33">
        <v>45525.0</v>
      </c>
      <c r="G817" s="27" t="s">
        <v>187</v>
      </c>
      <c r="H817" s="27" t="s">
        <v>1487</v>
      </c>
    </row>
    <row r="818" ht="15.75" customHeight="1">
      <c r="A818" s="25" t="s">
        <v>2308</v>
      </c>
      <c r="B818" s="25" t="s">
        <v>1355</v>
      </c>
      <c r="C818" s="25" t="s">
        <v>242</v>
      </c>
      <c r="D818" s="25" t="s">
        <v>1492</v>
      </c>
      <c r="E818" s="24">
        <v>0.7</v>
      </c>
      <c r="F818" s="30">
        <v>45778.0</v>
      </c>
      <c r="G818" s="25" t="s">
        <v>181</v>
      </c>
      <c r="H818" s="25" t="s">
        <v>1493</v>
      </c>
    </row>
    <row r="819" ht="15.75" customHeight="1">
      <c r="A819" s="27" t="s">
        <v>2309</v>
      </c>
      <c r="B819" s="27" t="s">
        <v>1355</v>
      </c>
      <c r="C819" s="27" t="s">
        <v>340</v>
      </c>
      <c r="D819" s="27" t="s">
        <v>1489</v>
      </c>
      <c r="E819" s="26">
        <v>0.9</v>
      </c>
      <c r="F819" s="33">
        <v>45626.0</v>
      </c>
      <c r="G819" s="27" t="s">
        <v>187</v>
      </c>
      <c r="H819" s="27" t="s">
        <v>1496</v>
      </c>
    </row>
    <row r="820" ht="15.75" customHeight="1">
      <c r="A820" s="25" t="s">
        <v>2310</v>
      </c>
      <c r="B820" s="25" t="s">
        <v>1355</v>
      </c>
      <c r="C820" s="25" t="s">
        <v>284</v>
      </c>
      <c r="D820" s="25" t="s">
        <v>1495</v>
      </c>
      <c r="E820" s="24">
        <v>0.5</v>
      </c>
      <c r="F820" s="30">
        <v>45689.0</v>
      </c>
      <c r="G820" s="25" t="s">
        <v>187</v>
      </c>
      <c r="H820" s="25" t="s">
        <v>1487</v>
      </c>
    </row>
    <row r="821" ht="15.75" customHeight="1">
      <c r="A821" s="27" t="s">
        <v>2311</v>
      </c>
      <c r="B821" s="27" t="s">
        <v>1355</v>
      </c>
      <c r="C821" s="27" t="s">
        <v>288</v>
      </c>
      <c r="D821" s="27" t="s">
        <v>1492</v>
      </c>
      <c r="E821" s="26">
        <v>0.7</v>
      </c>
      <c r="F821" s="33">
        <v>45429.0</v>
      </c>
      <c r="G821" s="27" t="s">
        <v>187</v>
      </c>
      <c r="H821" s="27" t="s">
        <v>1493</v>
      </c>
    </row>
    <row r="822" ht="15.75" customHeight="1">
      <c r="A822" s="25" t="s">
        <v>2312</v>
      </c>
      <c r="B822" s="25" t="s">
        <v>1361</v>
      </c>
      <c r="C822" s="25" t="s">
        <v>340</v>
      </c>
      <c r="D822" s="25" t="s">
        <v>1492</v>
      </c>
      <c r="E822" s="24">
        <v>0.1</v>
      </c>
      <c r="F822" s="30">
        <v>45986.0</v>
      </c>
      <c r="G822" s="25" t="s">
        <v>181</v>
      </c>
      <c r="H822" s="25" t="s">
        <v>1493</v>
      </c>
    </row>
    <row r="823" ht="15.75" customHeight="1">
      <c r="A823" s="27" t="s">
        <v>2313</v>
      </c>
      <c r="B823" s="27" t="s">
        <v>1361</v>
      </c>
      <c r="C823" s="27" t="s">
        <v>246</v>
      </c>
      <c r="D823" s="27" t="s">
        <v>1489</v>
      </c>
      <c r="E823" s="26">
        <v>0.3</v>
      </c>
      <c r="F823" s="33">
        <v>45263.0</v>
      </c>
      <c r="G823" s="27" t="s">
        <v>187</v>
      </c>
      <c r="H823" s="27" t="s">
        <v>1496</v>
      </c>
    </row>
    <row r="824" ht="15.75" customHeight="1">
      <c r="A824" s="25" t="s">
        <v>2314</v>
      </c>
      <c r="B824" s="25" t="s">
        <v>1361</v>
      </c>
      <c r="C824" s="25" t="s">
        <v>288</v>
      </c>
      <c r="D824" s="25" t="s">
        <v>1489</v>
      </c>
      <c r="E824" s="24">
        <v>0.1</v>
      </c>
      <c r="F824" s="30">
        <v>45236.0</v>
      </c>
      <c r="G824" s="25" t="s">
        <v>187</v>
      </c>
      <c r="H824" s="25" t="s">
        <v>1487</v>
      </c>
    </row>
    <row r="825" ht="15.75" customHeight="1">
      <c r="A825" s="27" t="s">
        <v>2315</v>
      </c>
      <c r="B825" s="27" t="s">
        <v>1361</v>
      </c>
      <c r="C825" s="27" t="s">
        <v>344</v>
      </c>
      <c r="D825" s="27" t="s">
        <v>1489</v>
      </c>
      <c r="E825" s="26">
        <v>0.2</v>
      </c>
      <c r="F825" s="33">
        <v>45991.0</v>
      </c>
      <c r="G825" s="27" t="s">
        <v>187</v>
      </c>
      <c r="H825" s="27" t="s">
        <v>1496</v>
      </c>
    </row>
    <row r="826" ht="15.75" customHeight="1">
      <c r="A826" s="25" t="s">
        <v>2316</v>
      </c>
      <c r="B826" s="25" t="s">
        <v>1361</v>
      </c>
      <c r="C826" s="25" t="s">
        <v>356</v>
      </c>
      <c r="D826" s="25" t="s">
        <v>1495</v>
      </c>
      <c r="E826" s="24">
        <v>0.1</v>
      </c>
      <c r="F826" s="30">
        <v>45550.0</v>
      </c>
      <c r="G826" s="25" t="s">
        <v>187</v>
      </c>
      <c r="H826" s="25" t="s">
        <v>1487</v>
      </c>
    </row>
    <row r="827" ht="15.75" customHeight="1">
      <c r="A827" s="27" t="s">
        <v>2317</v>
      </c>
      <c r="B827" s="27" t="s">
        <v>1367</v>
      </c>
      <c r="C827" s="27" t="s">
        <v>260</v>
      </c>
      <c r="D827" s="27" t="s">
        <v>1495</v>
      </c>
      <c r="E827" s="26">
        <v>2.0</v>
      </c>
      <c r="F827" s="33">
        <v>45832.0</v>
      </c>
      <c r="G827" s="27" t="s">
        <v>181</v>
      </c>
      <c r="H827" s="27" t="s">
        <v>1487</v>
      </c>
    </row>
    <row r="828" ht="15.75" customHeight="1">
      <c r="A828" s="25" t="s">
        <v>2318</v>
      </c>
      <c r="B828" s="25" t="s">
        <v>1367</v>
      </c>
      <c r="C828" s="25" t="s">
        <v>229</v>
      </c>
      <c r="D828" s="25" t="s">
        <v>1495</v>
      </c>
      <c r="E828" s="24">
        <v>2.5</v>
      </c>
      <c r="F828" s="30">
        <v>45755.0</v>
      </c>
      <c r="G828" s="25" t="s">
        <v>187</v>
      </c>
      <c r="H828" s="25" t="s">
        <v>1493</v>
      </c>
    </row>
    <row r="829" ht="15.75" customHeight="1">
      <c r="A829" s="27" t="s">
        <v>2319</v>
      </c>
      <c r="B829" s="27" t="s">
        <v>1367</v>
      </c>
      <c r="C829" s="27" t="s">
        <v>270</v>
      </c>
      <c r="D829" s="27" t="s">
        <v>1492</v>
      </c>
      <c r="E829" s="26">
        <v>0.7</v>
      </c>
      <c r="F829" s="33">
        <v>45612.0</v>
      </c>
      <c r="G829" s="27" t="s">
        <v>187</v>
      </c>
      <c r="H829" s="27" t="s">
        <v>1496</v>
      </c>
    </row>
    <row r="830" ht="15.75" customHeight="1">
      <c r="A830" s="25" t="s">
        <v>2320</v>
      </c>
      <c r="B830" s="25" t="s">
        <v>1367</v>
      </c>
      <c r="C830" s="25" t="s">
        <v>288</v>
      </c>
      <c r="D830" s="25" t="s">
        <v>1492</v>
      </c>
      <c r="E830" s="24">
        <v>2.4</v>
      </c>
      <c r="F830" s="30">
        <v>45185.0</v>
      </c>
      <c r="G830" s="25" t="s">
        <v>187</v>
      </c>
      <c r="H830" s="25" t="s">
        <v>1487</v>
      </c>
    </row>
    <row r="831" ht="15.75" customHeight="1">
      <c r="A831" s="27" t="s">
        <v>2321</v>
      </c>
      <c r="B831" s="27" t="s">
        <v>1367</v>
      </c>
      <c r="C831" s="27" t="s">
        <v>370</v>
      </c>
      <c r="D831" s="27" t="s">
        <v>1486</v>
      </c>
      <c r="E831" s="26">
        <v>1.2</v>
      </c>
      <c r="F831" s="33">
        <v>45117.0</v>
      </c>
      <c r="G831" s="27" t="s">
        <v>187</v>
      </c>
      <c r="H831" s="27" t="s">
        <v>1487</v>
      </c>
    </row>
    <row r="832" ht="15.75" customHeight="1">
      <c r="A832" s="25" t="s">
        <v>2322</v>
      </c>
      <c r="B832" s="25" t="s">
        <v>1367</v>
      </c>
      <c r="C832" s="25" t="s">
        <v>325</v>
      </c>
      <c r="D832" s="25" t="s">
        <v>1495</v>
      </c>
      <c r="E832" s="24">
        <v>1.8</v>
      </c>
      <c r="F832" s="30">
        <v>45254.0</v>
      </c>
      <c r="G832" s="25" t="s">
        <v>187</v>
      </c>
      <c r="H832" s="25" t="s">
        <v>1493</v>
      </c>
    </row>
    <row r="833" ht="15.75" customHeight="1">
      <c r="A833" s="27" t="s">
        <v>2323</v>
      </c>
      <c r="B833" s="27" t="s">
        <v>1367</v>
      </c>
      <c r="C833" s="27" t="s">
        <v>336</v>
      </c>
      <c r="D833" s="27" t="s">
        <v>1489</v>
      </c>
      <c r="E833" s="26">
        <v>2.5</v>
      </c>
      <c r="F833" s="33">
        <v>45456.0</v>
      </c>
      <c r="G833" s="27" t="s">
        <v>187</v>
      </c>
      <c r="H833" s="27" t="s">
        <v>1493</v>
      </c>
    </row>
    <row r="834" ht="15.75" customHeight="1">
      <c r="A834" s="25" t="s">
        <v>2324</v>
      </c>
      <c r="B834" s="25" t="s">
        <v>1367</v>
      </c>
      <c r="C834" s="25" t="s">
        <v>365</v>
      </c>
      <c r="D834" s="25" t="s">
        <v>1492</v>
      </c>
      <c r="E834" s="24">
        <v>1.3</v>
      </c>
      <c r="F834" s="30">
        <v>45792.0</v>
      </c>
      <c r="G834" s="25" t="s">
        <v>187</v>
      </c>
      <c r="H834" s="25" t="s">
        <v>1487</v>
      </c>
    </row>
    <row r="835" ht="15.75" customHeight="1">
      <c r="A835" s="27" t="s">
        <v>2325</v>
      </c>
      <c r="B835" s="27" t="s">
        <v>1374</v>
      </c>
      <c r="C835" s="27" t="s">
        <v>329</v>
      </c>
      <c r="D835" s="27" t="s">
        <v>1489</v>
      </c>
      <c r="E835" s="26">
        <v>0.8</v>
      </c>
      <c r="F835" s="33">
        <v>45182.0</v>
      </c>
      <c r="G835" s="27" t="s">
        <v>181</v>
      </c>
      <c r="H835" s="27" t="s">
        <v>1496</v>
      </c>
    </row>
    <row r="836" ht="15.75" customHeight="1">
      <c r="A836" s="25" t="s">
        <v>2326</v>
      </c>
      <c r="B836" s="25" t="s">
        <v>1374</v>
      </c>
      <c r="C836" s="25" t="s">
        <v>344</v>
      </c>
      <c r="D836" s="25" t="s">
        <v>1489</v>
      </c>
      <c r="E836" s="24">
        <v>0.9</v>
      </c>
      <c r="F836" s="30">
        <v>45855.0</v>
      </c>
      <c r="G836" s="25" t="s">
        <v>187</v>
      </c>
      <c r="H836" s="25" t="s">
        <v>1496</v>
      </c>
    </row>
    <row r="837" ht="15.75" customHeight="1">
      <c r="A837" s="27" t="s">
        <v>2327</v>
      </c>
      <c r="B837" s="27" t="s">
        <v>1374</v>
      </c>
      <c r="C837" s="27" t="s">
        <v>356</v>
      </c>
      <c r="D837" s="27" t="s">
        <v>1486</v>
      </c>
      <c r="E837" s="26">
        <v>0.9</v>
      </c>
      <c r="F837" s="33">
        <v>46019.0</v>
      </c>
      <c r="G837" s="27" t="s">
        <v>187</v>
      </c>
      <c r="H837" s="27" t="s">
        <v>1487</v>
      </c>
    </row>
    <row r="838" ht="15.75" customHeight="1">
      <c r="A838" s="25" t="s">
        <v>2328</v>
      </c>
      <c r="B838" s="25" t="s">
        <v>1374</v>
      </c>
      <c r="C838" s="25" t="s">
        <v>370</v>
      </c>
      <c r="D838" s="25" t="s">
        <v>1489</v>
      </c>
      <c r="E838" s="24">
        <v>0.6</v>
      </c>
      <c r="F838" s="30">
        <v>45213.0</v>
      </c>
      <c r="G838" s="25" t="s">
        <v>187</v>
      </c>
      <c r="H838" s="25" t="s">
        <v>1487</v>
      </c>
    </row>
    <row r="839" ht="15.75" customHeight="1">
      <c r="A839" s="27" t="s">
        <v>2329</v>
      </c>
      <c r="B839" s="27" t="s">
        <v>1380</v>
      </c>
      <c r="C839" s="27" t="s">
        <v>242</v>
      </c>
      <c r="D839" s="27" t="s">
        <v>1489</v>
      </c>
      <c r="E839" s="26">
        <v>0.7</v>
      </c>
      <c r="F839" s="33">
        <v>45770.0</v>
      </c>
      <c r="G839" s="27" t="s">
        <v>181</v>
      </c>
      <c r="H839" s="27" t="s">
        <v>1493</v>
      </c>
    </row>
    <row r="840" ht="15.75" customHeight="1">
      <c r="A840" s="25" t="s">
        <v>2330</v>
      </c>
      <c r="B840" s="25" t="s">
        <v>1380</v>
      </c>
      <c r="C840" s="25" t="s">
        <v>288</v>
      </c>
      <c r="D840" s="25" t="s">
        <v>1489</v>
      </c>
      <c r="E840" s="24">
        <v>0.7</v>
      </c>
      <c r="F840" s="30">
        <v>45193.0</v>
      </c>
      <c r="G840" s="25" t="s">
        <v>187</v>
      </c>
      <c r="H840" s="25" t="s">
        <v>1496</v>
      </c>
    </row>
    <row r="841" ht="15.75" customHeight="1">
      <c r="A841" s="27" t="s">
        <v>2331</v>
      </c>
      <c r="B841" s="27" t="s">
        <v>1380</v>
      </c>
      <c r="C841" s="27" t="s">
        <v>344</v>
      </c>
      <c r="D841" s="27" t="s">
        <v>1489</v>
      </c>
      <c r="E841" s="26">
        <v>0.5</v>
      </c>
      <c r="F841" s="33">
        <v>46004.0</v>
      </c>
      <c r="G841" s="27" t="s">
        <v>187</v>
      </c>
      <c r="H841" s="27" t="s">
        <v>1496</v>
      </c>
    </row>
    <row r="842" ht="15.75" customHeight="1">
      <c r="A842" s="25" t="s">
        <v>2332</v>
      </c>
      <c r="B842" s="25" t="s">
        <v>1380</v>
      </c>
      <c r="C842" s="25" t="s">
        <v>370</v>
      </c>
      <c r="D842" s="25" t="s">
        <v>1495</v>
      </c>
      <c r="E842" s="24">
        <v>0.8</v>
      </c>
      <c r="F842" s="30">
        <v>45735.0</v>
      </c>
      <c r="G842" s="25" t="s">
        <v>187</v>
      </c>
      <c r="H842" s="25" t="s">
        <v>1496</v>
      </c>
    </row>
    <row r="843" ht="15.75" customHeight="1">
      <c r="A843" s="27" t="s">
        <v>2333</v>
      </c>
      <c r="B843" s="27" t="s">
        <v>1386</v>
      </c>
      <c r="C843" s="27" t="s">
        <v>340</v>
      </c>
      <c r="D843" s="27" t="s">
        <v>1492</v>
      </c>
      <c r="E843" s="26">
        <v>0.4</v>
      </c>
      <c r="F843" s="33">
        <v>45978.0</v>
      </c>
      <c r="G843" s="27" t="s">
        <v>181</v>
      </c>
      <c r="H843" s="27" t="s">
        <v>1487</v>
      </c>
    </row>
    <row r="844" ht="15.75" customHeight="1">
      <c r="A844" s="25" t="s">
        <v>2334</v>
      </c>
      <c r="B844" s="25" t="s">
        <v>1386</v>
      </c>
      <c r="C844" s="25" t="s">
        <v>284</v>
      </c>
      <c r="D844" s="25" t="s">
        <v>1489</v>
      </c>
      <c r="E844" s="24">
        <v>0.4</v>
      </c>
      <c r="F844" s="30">
        <v>45896.0</v>
      </c>
      <c r="G844" s="25" t="s">
        <v>187</v>
      </c>
      <c r="H844" s="25" t="s">
        <v>1493</v>
      </c>
    </row>
    <row r="845" ht="15.75" customHeight="1">
      <c r="A845" s="27" t="s">
        <v>2335</v>
      </c>
      <c r="B845" s="27" t="s">
        <v>1386</v>
      </c>
      <c r="C845" s="27" t="s">
        <v>301</v>
      </c>
      <c r="D845" s="27" t="s">
        <v>1492</v>
      </c>
      <c r="E845" s="26">
        <v>0.0</v>
      </c>
      <c r="F845" s="33">
        <v>45683.0</v>
      </c>
      <c r="G845" s="27" t="s">
        <v>187</v>
      </c>
      <c r="H845" s="27" t="s">
        <v>1493</v>
      </c>
    </row>
    <row r="846" ht="15.75" customHeight="1">
      <c r="A846" s="25" t="s">
        <v>2336</v>
      </c>
      <c r="B846" s="25" t="s">
        <v>1386</v>
      </c>
      <c r="C846" s="25" t="s">
        <v>309</v>
      </c>
      <c r="D846" s="25" t="s">
        <v>1495</v>
      </c>
      <c r="E846" s="24">
        <v>0.3</v>
      </c>
      <c r="F846" s="30">
        <v>45174.0</v>
      </c>
      <c r="G846" s="25" t="s">
        <v>187</v>
      </c>
      <c r="H846" s="25" t="s">
        <v>1496</v>
      </c>
    </row>
    <row r="847" ht="15.75" customHeight="1">
      <c r="A847" s="27" t="s">
        <v>2337</v>
      </c>
      <c r="B847" s="27" t="s">
        <v>1386</v>
      </c>
      <c r="C847" s="27" t="s">
        <v>333</v>
      </c>
      <c r="D847" s="27" t="s">
        <v>1495</v>
      </c>
      <c r="E847" s="26">
        <v>0.5</v>
      </c>
      <c r="F847" s="33">
        <v>45240.0</v>
      </c>
      <c r="G847" s="27" t="s">
        <v>187</v>
      </c>
      <c r="H847" s="27" t="s">
        <v>1493</v>
      </c>
    </row>
    <row r="848" ht="15.75" customHeight="1">
      <c r="A848" s="25" t="s">
        <v>2338</v>
      </c>
      <c r="B848" s="25" t="s">
        <v>1386</v>
      </c>
      <c r="C848" s="25" t="s">
        <v>365</v>
      </c>
      <c r="D848" s="25" t="s">
        <v>1495</v>
      </c>
      <c r="E848" s="24">
        <v>0.0</v>
      </c>
      <c r="F848" s="30">
        <v>45548.0</v>
      </c>
      <c r="G848" s="25" t="s">
        <v>187</v>
      </c>
      <c r="H848" s="25" t="s">
        <v>1496</v>
      </c>
    </row>
    <row r="849" ht="15.75" customHeight="1">
      <c r="A849" s="27" t="s">
        <v>2339</v>
      </c>
      <c r="B849" s="27" t="s">
        <v>1386</v>
      </c>
      <c r="C849" s="27" t="s">
        <v>280</v>
      </c>
      <c r="D849" s="27" t="s">
        <v>1495</v>
      </c>
      <c r="E849" s="26">
        <v>0.1</v>
      </c>
      <c r="F849" s="33">
        <v>45218.0</v>
      </c>
      <c r="G849" s="27" t="s">
        <v>187</v>
      </c>
      <c r="H849" s="27" t="s">
        <v>1487</v>
      </c>
    </row>
    <row r="850" ht="15.75" customHeight="1">
      <c r="A850" s="25" t="s">
        <v>2340</v>
      </c>
      <c r="B850" s="25" t="s">
        <v>1393</v>
      </c>
      <c r="C850" s="25" t="s">
        <v>370</v>
      </c>
      <c r="D850" s="25" t="s">
        <v>1492</v>
      </c>
      <c r="E850" s="24">
        <v>0.3</v>
      </c>
      <c r="F850" s="30">
        <v>45561.0</v>
      </c>
      <c r="G850" s="25" t="s">
        <v>181</v>
      </c>
      <c r="H850" s="25" t="s">
        <v>1487</v>
      </c>
    </row>
    <row r="851" ht="15.75" customHeight="1">
      <c r="A851" s="27" t="s">
        <v>2341</v>
      </c>
      <c r="B851" s="27" t="s">
        <v>1393</v>
      </c>
      <c r="C851" s="27" t="s">
        <v>253</v>
      </c>
      <c r="D851" s="27" t="s">
        <v>1495</v>
      </c>
      <c r="E851" s="26">
        <v>0.3</v>
      </c>
      <c r="F851" s="33">
        <v>45699.0</v>
      </c>
      <c r="G851" s="27" t="s">
        <v>187</v>
      </c>
      <c r="H851" s="27" t="s">
        <v>1496</v>
      </c>
    </row>
    <row r="852" ht="15.75" customHeight="1">
      <c r="A852" s="25" t="s">
        <v>2342</v>
      </c>
      <c r="B852" s="25" t="s">
        <v>1393</v>
      </c>
      <c r="C852" s="25" t="s">
        <v>348</v>
      </c>
      <c r="D852" s="25" t="s">
        <v>1492</v>
      </c>
      <c r="E852" s="24">
        <v>0.1</v>
      </c>
      <c r="F852" s="30">
        <v>45198.0</v>
      </c>
      <c r="G852" s="25" t="s">
        <v>187</v>
      </c>
      <c r="H852" s="25" t="s">
        <v>1493</v>
      </c>
    </row>
    <row r="853" ht="15.75" customHeight="1">
      <c r="A853" s="27" t="s">
        <v>2343</v>
      </c>
      <c r="B853" s="27" t="s">
        <v>1393</v>
      </c>
      <c r="C853" s="27" t="s">
        <v>333</v>
      </c>
      <c r="D853" s="27" t="s">
        <v>1495</v>
      </c>
      <c r="E853" s="26">
        <v>0.3</v>
      </c>
      <c r="F853" s="33">
        <v>45848.0</v>
      </c>
      <c r="G853" s="27" t="s">
        <v>187</v>
      </c>
      <c r="H853" s="27" t="s">
        <v>1487</v>
      </c>
    </row>
    <row r="854" ht="15.75" customHeight="1">
      <c r="A854" s="25" t="s">
        <v>2344</v>
      </c>
      <c r="B854" s="25" t="s">
        <v>1400</v>
      </c>
      <c r="C854" s="25" t="s">
        <v>340</v>
      </c>
      <c r="D854" s="25" t="s">
        <v>1495</v>
      </c>
      <c r="E854" s="24">
        <v>0.6</v>
      </c>
      <c r="F854" s="30">
        <v>45834.0</v>
      </c>
      <c r="G854" s="25" t="s">
        <v>181</v>
      </c>
      <c r="H854" s="25" t="s">
        <v>1487</v>
      </c>
    </row>
    <row r="855" ht="15.75" customHeight="1">
      <c r="A855" s="27" t="s">
        <v>2345</v>
      </c>
      <c r="B855" s="27" t="s">
        <v>1400</v>
      </c>
      <c r="C855" s="27" t="s">
        <v>246</v>
      </c>
      <c r="D855" s="27" t="s">
        <v>1489</v>
      </c>
      <c r="E855" s="26">
        <v>0.6</v>
      </c>
      <c r="F855" s="33">
        <v>45266.0</v>
      </c>
      <c r="G855" s="27" t="s">
        <v>187</v>
      </c>
      <c r="H855" s="27" t="s">
        <v>1487</v>
      </c>
    </row>
    <row r="856" ht="15.75" customHeight="1">
      <c r="A856" s="25" t="s">
        <v>2346</v>
      </c>
      <c r="B856" s="25" t="s">
        <v>1400</v>
      </c>
      <c r="C856" s="25" t="s">
        <v>370</v>
      </c>
      <c r="D856" s="25" t="s">
        <v>1489</v>
      </c>
      <c r="E856" s="24">
        <v>1.4</v>
      </c>
      <c r="F856" s="30">
        <v>45559.0</v>
      </c>
      <c r="G856" s="25" t="s">
        <v>187</v>
      </c>
      <c r="H856" s="25" t="s">
        <v>1487</v>
      </c>
    </row>
    <row r="857" ht="15.75" customHeight="1">
      <c r="A857" s="27" t="s">
        <v>2347</v>
      </c>
      <c r="B857" s="27" t="s">
        <v>1400</v>
      </c>
      <c r="C857" s="27" t="s">
        <v>298</v>
      </c>
      <c r="D857" s="27" t="s">
        <v>1492</v>
      </c>
      <c r="E857" s="26">
        <v>1.5</v>
      </c>
      <c r="F857" s="33">
        <v>45101.0</v>
      </c>
      <c r="G857" s="27" t="s">
        <v>187</v>
      </c>
      <c r="H857" s="27" t="s">
        <v>1493</v>
      </c>
    </row>
    <row r="858" ht="15.75" customHeight="1">
      <c r="A858" s="25" t="s">
        <v>2348</v>
      </c>
      <c r="B858" s="25" t="s">
        <v>1400</v>
      </c>
      <c r="C858" s="25" t="s">
        <v>336</v>
      </c>
      <c r="D858" s="25" t="s">
        <v>1486</v>
      </c>
      <c r="E858" s="24">
        <v>1.3</v>
      </c>
      <c r="F858" s="30">
        <v>45035.0</v>
      </c>
      <c r="G858" s="25" t="s">
        <v>187</v>
      </c>
      <c r="H858" s="25" t="s">
        <v>1487</v>
      </c>
    </row>
    <row r="859" ht="15.75" customHeight="1">
      <c r="A859" s="27" t="s">
        <v>2349</v>
      </c>
      <c r="B859" s="27" t="s">
        <v>1400</v>
      </c>
      <c r="C859" s="27" t="s">
        <v>266</v>
      </c>
      <c r="D859" s="27" t="s">
        <v>1495</v>
      </c>
      <c r="E859" s="26">
        <v>1.6</v>
      </c>
      <c r="F859" s="33">
        <v>45956.0</v>
      </c>
      <c r="G859" s="27" t="s">
        <v>187</v>
      </c>
      <c r="H859" s="27" t="s">
        <v>1493</v>
      </c>
    </row>
    <row r="860" ht="15.75" customHeight="1">
      <c r="A860" s="25" t="s">
        <v>2350</v>
      </c>
      <c r="B860" s="25" t="s">
        <v>1400</v>
      </c>
      <c r="C860" s="25" t="s">
        <v>313</v>
      </c>
      <c r="D860" s="25" t="s">
        <v>1489</v>
      </c>
      <c r="E860" s="24">
        <v>1.9</v>
      </c>
      <c r="F860" s="30">
        <v>45295.0</v>
      </c>
      <c r="G860" s="25" t="s">
        <v>187</v>
      </c>
      <c r="H860" s="25" t="s">
        <v>1493</v>
      </c>
    </row>
    <row r="861" ht="15.75" customHeight="1">
      <c r="A861" s="27" t="s">
        <v>2351</v>
      </c>
      <c r="B861" s="27" t="s">
        <v>1406</v>
      </c>
      <c r="C861" s="27" t="s">
        <v>370</v>
      </c>
      <c r="D861" s="27" t="s">
        <v>1495</v>
      </c>
      <c r="E861" s="26">
        <v>0.3</v>
      </c>
      <c r="F861" s="33">
        <v>44974.0</v>
      </c>
      <c r="G861" s="27" t="s">
        <v>181</v>
      </c>
      <c r="H861" s="27" t="s">
        <v>1496</v>
      </c>
    </row>
    <row r="862" ht="15.75" customHeight="1">
      <c r="A862" s="25" t="s">
        <v>2352</v>
      </c>
      <c r="B862" s="25" t="s">
        <v>1406</v>
      </c>
      <c r="C862" s="25" t="s">
        <v>253</v>
      </c>
      <c r="D862" s="25" t="s">
        <v>1495</v>
      </c>
      <c r="E862" s="24">
        <v>0.3</v>
      </c>
      <c r="F862" s="30">
        <v>46008.0</v>
      </c>
      <c r="G862" s="25" t="s">
        <v>187</v>
      </c>
      <c r="H862" s="25" t="s">
        <v>1496</v>
      </c>
    </row>
    <row r="863" ht="15.75" customHeight="1">
      <c r="A863" s="27" t="s">
        <v>2353</v>
      </c>
      <c r="B863" s="27" t="s">
        <v>1406</v>
      </c>
      <c r="C863" s="27" t="s">
        <v>362</v>
      </c>
      <c r="D863" s="27" t="s">
        <v>1495</v>
      </c>
      <c r="E863" s="26">
        <v>0.5</v>
      </c>
      <c r="F863" s="33">
        <v>45130.0</v>
      </c>
      <c r="G863" s="27" t="s">
        <v>187</v>
      </c>
      <c r="H863" s="27" t="s">
        <v>1487</v>
      </c>
    </row>
    <row r="864" ht="15.75" customHeight="1">
      <c r="A864" s="25" t="s">
        <v>2354</v>
      </c>
      <c r="B864" s="25" t="s">
        <v>1406</v>
      </c>
      <c r="C864" s="25" t="s">
        <v>309</v>
      </c>
      <c r="D864" s="25" t="s">
        <v>1489</v>
      </c>
      <c r="E864" s="24">
        <v>0.4</v>
      </c>
      <c r="F864" s="30">
        <v>45450.0</v>
      </c>
      <c r="G864" s="25" t="s">
        <v>187</v>
      </c>
      <c r="H864" s="25" t="s">
        <v>1493</v>
      </c>
    </row>
    <row r="865" ht="15.75" customHeight="1">
      <c r="A865" s="27" t="s">
        <v>2355</v>
      </c>
      <c r="B865" s="27" t="s">
        <v>1406</v>
      </c>
      <c r="C865" s="27" t="s">
        <v>333</v>
      </c>
      <c r="D865" s="27" t="s">
        <v>1489</v>
      </c>
      <c r="E865" s="26">
        <v>0.0</v>
      </c>
      <c r="F865" s="33">
        <v>45273.0</v>
      </c>
      <c r="G865" s="27" t="s">
        <v>187</v>
      </c>
      <c r="H865" s="27" t="s">
        <v>1493</v>
      </c>
    </row>
    <row r="866" ht="15.75" customHeight="1">
      <c r="A866" s="25" t="s">
        <v>2356</v>
      </c>
      <c r="B866" s="25" t="s">
        <v>1406</v>
      </c>
      <c r="C866" s="25" t="s">
        <v>321</v>
      </c>
      <c r="D866" s="25" t="s">
        <v>1495</v>
      </c>
      <c r="E866" s="24">
        <v>0.3</v>
      </c>
      <c r="F866" s="30">
        <v>44982.0</v>
      </c>
      <c r="G866" s="25" t="s">
        <v>187</v>
      </c>
      <c r="H866" s="25" t="s">
        <v>1487</v>
      </c>
    </row>
    <row r="867" ht="15.75" customHeight="1">
      <c r="A867" s="27" t="s">
        <v>2357</v>
      </c>
      <c r="B867" s="27" t="s">
        <v>1406</v>
      </c>
      <c r="C867" s="27" t="s">
        <v>374</v>
      </c>
      <c r="D867" s="27" t="s">
        <v>1489</v>
      </c>
      <c r="E867" s="26">
        <v>0.3</v>
      </c>
      <c r="F867" s="33">
        <v>45582.0</v>
      </c>
      <c r="G867" s="27" t="s">
        <v>187</v>
      </c>
      <c r="H867" s="27" t="s">
        <v>1493</v>
      </c>
    </row>
    <row r="868" ht="15.75" customHeight="1">
      <c r="A868" s="25" t="s">
        <v>2358</v>
      </c>
      <c r="B868" s="25" t="s">
        <v>1413</v>
      </c>
      <c r="C868" s="25" t="s">
        <v>260</v>
      </c>
      <c r="D868" s="25" t="s">
        <v>1495</v>
      </c>
      <c r="E868" s="24">
        <v>1.8</v>
      </c>
      <c r="F868" s="30">
        <v>45162.0</v>
      </c>
      <c r="G868" s="25" t="s">
        <v>181</v>
      </c>
      <c r="H868" s="25" t="s">
        <v>1496</v>
      </c>
    </row>
    <row r="869" ht="15.75" customHeight="1">
      <c r="A869" s="27" t="s">
        <v>2359</v>
      </c>
      <c r="B869" s="27" t="s">
        <v>1413</v>
      </c>
      <c r="C869" s="27" t="s">
        <v>242</v>
      </c>
      <c r="D869" s="27" t="s">
        <v>1489</v>
      </c>
      <c r="E869" s="26">
        <v>1.7</v>
      </c>
      <c r="F869" s="33">
        <v>45760.0</v>
      </c>
      <c r="G869" s="27" t="s">
        <v>187</v>
      </c>
      <c r="H869" s="27" t="s">
        <v>1493</v>
      </c>
    </row>
    <row r="870" ht="15.75" customHeight="1">
      <c r="A870" s="25" t="s">
        <v>2360</v>
      </c>
      <c r="B870" s="25" t="s">
        <v>1413</v>
      </c>
      <c r="C870" s="25" t="s">
        <v>344</v>
      </c>
      <c r="D870" s="25" t="s">
        <v>1495</v>
      </c>
      <c r="E870" s="24">
        <v>1.5</v>
      </c>
      <c r="F870" s="30">
        <v>45405.0</v>
      </c>
      <c r="G870" s="25" t="s">
        <v>187</v>
      </c>
      <c r="H870" s="25" t="s">
        <v>1493</v>
      </c>
    </row>
    <row r="871" ht="15.75" customHeight="1">
      <c r="A871" s="27" t="s">
        <v>2361</v>
      </c>
      <c r="B871" s="27" t="s">
        <v>1413</v>
      </c>
      <c r="C871" s="27" t="s">
        <v>325</v>
      </c>
      <c r="D871" s="27" t="s">
        <v>1489</v>
      </c>
      <c r="E871" s="26">
        <v>2.9</v>
      </c>
      <c r="F871" s="33">
        <v>45134.0</v>
      </c>
      <c r="G871" s="27" t="s">
        <v>187</v>
      </c>
      <c r="H871" s="27" t="s">
        <v>1493</v>
      </c>
    </row>
    <row r="872" ht="15.75" customHeight="1">
      <c r="A872" s="25" t="s">
        <v>2362</v>
      </c>
      <c r="B872" s="25" t="s">
        <v>1413</v>
      </c>
      <c r="C872" s="25" t="s">
        <v>362</v>
      </c>
      <c r="D872" s="25" t="s">
        <v>1492</v>
      </c>
      <c r="E872" s="24">
        <v>2.1</v>
      </c>
      <c r="F872" s="30">
        <v>45184.0</v>
      </c>
      <c r="G872" s="25" t="s">
        <v>187</v>
      </c>
      <c r="H872" s="25" t="s">
        <v>1496</v>
      </c>
    </row>
    <row r="873" ht="15.75" customHeight="1">
      <c r="A873" s="27" t="s">
        <v>2363</v>
      </c>
      <c r="B873" s="27" t="s">
        <v>1413</v>
      </c>
      <c r="C873" s="27" t="s">
        <v>266</v>
      </c>
      <c r="D873" s="27" t="s">
        <v>1495</v>
      </c>
      <c r="E873" s="26">
        <v>1.6</v>
      </c>
      <c r="F873" s="33">
        <v>45951.0</v>
      </c>
      <c r="G873" s="27" t="s">
        <v>187</v>
      </c>
      <c r="H873" s="27" t="s">
        <v>1493</v>
      </c>
    </row>
    <row r="874" ht="15.75" customHeight="1">
      <c r="A874" s="25" t="s">
        <v>2364</v>
      </c>
      <c r="B874" s="25" t="s">
        <v>1413</v>
      </c>
      <c r="C874" s="25" t="s">
        <v>365</v>
      </c>
      <c r="D874" s="25" t="s">
        <v>1492</v>
      </c>
      <c r="E874" s="24">
        <v>0.9</v>
      </c>
      <c r="F874" s="30">
        <v>45271.0</v>
      </c>
      <c r="G874" s="25" t="s">
        <v>187</v>
      </c>
      <c r="H874" s="25" t="s">
        <v>1493</v>
      </c>
    </row>
    <row r="875" ht="15.75" customHeight="1">
      <c r="A875" s="27" t="s">
        <v>2365</v>
      </c>
      <c r="B875" s="27" t="s">
        <v>1419</v>
      </c>
      <c r="C875" s="27" t="s">
        <v>229</v>
      </c>
      <c r="D875" s="27" t="s">
        <v>1489</v>
      </c>
      <c r="E875" s="26">
        <v>0.6</v>
      </c>
      <c r="F875" s="33">
        <v>45705.0</v>
      </c>
      <c r="G875" s="27" t="s">
        <v>181</v>
      </c>
      <c r="H875" s="27" t="s">
        <v>1496</v>
      </c>
    </row>
    <row r="876" ht="15.75" customHeight="1">
      <c r="A876" s="25" t="s">
        <v>2366</v>
      </c>
      <c r="B876" s="25" t="s">
        <v>1419</v>
      </c>
      <c r="C876" s="25" t="s">
        <v>329</v>
      </c>
      <c r="D876" s="25" t="s">
        <v>1492</v>
      </c>
      <c r="E876" s="24">
        <v>0.6</v>
      </c>
      <c r="F876" s="30">
        <v>45972.0</v>
      </c>
      <c r="G876" s="25" t="s">
        <v>187</v>
      </c>
      <c r="H876" s="25" t="s">
        <v>1496</v>
      </c>
    </row>
    <row r="877" ht="15.75" customHeight="1">
      <c r="A877" s="27" t="s">
        <v>2367</v>
      </c>
      <c r="B877" s="27" t="s">
        <v>1419</v>
      </c>
      <c r="C877" s="27" t="s">
        <v>340</v>
      </c>
      <c r="D877" s="27" t="s">
        <v>1489</v>
      </c>
      <c r="E877" s="26">
        <v>0.9</v>
      </c>
      <c r="F877" s="33">
        <v>45070.0</v>
      </c>
      <c r="G877" s="27" t="s">
        <v>187</v>
      </c>
      <c r="H877" s="27" t="s">
        <v>1496</v>
      </c>
    </row>
    <row r="878" ht="15.75" customHeight="1">
      <c r="A878" s="25" t="s">
        <v>2368</v>
      </c>
      <c r="B878" s="25" t="s">
        <v>1419</v>
      </c>
      <c r="C878" s="25" t="s">
        <v>298</v>
      </c>
      <c r="D878" s="25" t="s">
        <v>1489</v>
      </c>
      <c r="E878" s="24">
        <v>0.8</v>
      </c>
      <c r="F878" s="30">
        <v>45213.0</v>
      </c>
      <c r="G878" s="25" t="s">
        <v>187</v>
      </c>
      <c r="H878" s="25" t="s">
        <v>1487</v>
      </c>
    </row>
    <row r="879" ht="15.75" customHeight="1">
      <c r="A879" s="27" t="s">
        <v>2369</v>
      </c>
      <c r="B879" s="27" t="s">
        <v>1419</v>
      </c>
      <c r="C879" s="27" t="s">
        <v>365</v>
      </c>
      <c r="D879" s="27" t="s">
        <v>1495</v>
      </c>
      <c r="E879" s="26">
        <v>0.6</v>
      </c>
      <c r="F879" s="33">
        <v>45811.0</v>
      </c>
      <c r="G879" s="27" t="s">
        <v>187</v>
      </c>
      <c r="H879" s="27" t="s">
        <v>1493</v>
      </c>
    </row>
    <row r="880" ht="15.75" customHeight="1">
      <c r="A880" s="25" t="s">
        <v>2370</v>
      </c>
      <c r="B880" s="25" t="s">
        <v>1419</v>
      </c>
      <c r="C880" s="25" t="s">
        <v>280</v>
      </c>
      <c r="D880" s="25" t="s">
        <v>1495</v>
      </c>
      <c r="E880" s="24">
        <v>1.0</v>
      </c>
      <c r="F880" s="30">
        <v>45578.0</v>
      </c>
      <c r="G880" s="25" t="s">
        <v>187</v>
      </c>
      <c r="H880" s="25" t="s">
        <v>1487</v>
      </c>
    </row>
    <row r="881" ht="15.75" customHeight="1">
      <c r="A881" s="27" t="s">
        <v>2371</v>
      </c>
      <c r="B881" s="27" t="s">
        <v>1419</v>
      </c>
      <c r="C881" s="27" t="s">
        <v>234</v>
      </c>
      <c r="D881" s="27" t="s">
        <v>1492</v>
      </c>
      <c r="E881" s="26">
        <v>0.8</v>
      </c>
      <c r="F881" s="33">
        <v>45854.0</v>
      </c>
      <c r="G881" s="27" t="s">
        <v>187</v>
      </c>
      <c r="H881" s="27" t="s">
        <v>1496</v>
      </c>
    </row>
    <row r="882" ht="15.75" customHeight="1">
      <c r="A882" s="25" t="s">
        <v>2372</v>
      </c>
      <c r="B882" s="25" t="s">
        <v>1425</v>
      </c>
      <c r="C882" s="25" t="s">
        <v>305</v>
      </c>
      <c r="D882" s="25" t="s">
        <v>1492</v>
      </c>
      <c r="E882" s="24">
        <v>0.2</v>
      </c>
      <c r="F882" s="30">
        <v>44935.0</v>
      </c>
      <c r="G882" s="25" t="s">
        <v>181</v>
      </c>
      <c r="H882" s="25" t="s">
        <v>1493</v>
      </c>
    </row>
    <row r="883" ht="15.75" customHeight="1">
      <c r="A883" s="27" t="s">
        <v>2373</v>
      </c>
      <c r="B883" s="27" t="s">
        <v>1425</v>
      </c>
      <c r="C883" s="27" t="s">
        <v>253</v>
      </c>
      <c r="D883" s="27" t="s">
        <v>1492</v>
      </c>
      <c r="E883" s="26">
        <v>0.3</v>
      </c>
      <c r="F883" s="33">
        <v>45928.0</v>
      </c>
      <c r="G883" s="27" t="s">
        <v>187</v>
      </c>
      <c r="H883" s="27" t="s">
        <v>1496</v>
      </c>
    </row>
    <row r="884" ht="15.75" customHeight="1">
      <c r="A884" s="25" t="s">
        <v>2374</v>
      </c>
      <c r="B884" s="25" t="s">
        <v>1425</v>
      </c>
      <c r="C884" s="25" t="s">
        <v>356</v>
      </c>
      <c r="D884" s="25" t="s">
        <v>1495</v>
      </c>
      <c r="E884" s="24">
        <v>0.1</v>
      </c>
      <c r="F884" s="30">
        <v>45085.0</v>
      </c>
      <c r="G884" s="25" t="s">
        <v>187</v>
      </c>
      <c r="H884" s="25" t="s">
        <v>1487</v>
      </c>
    </row>
    <row r="885" ht="15.75" customHeight="1">
      <c r="A885" s="27" t="s">
        <v>2375</v>
      </c>
      <c r="B885" s="27" t="s">
        <v>1425</v>
      </c>
      <c r="C885" s="27" t="s">
        <v>336</v>
      </c>
      <c r="D885" s="27" t="s">
        <v>1489</v>
      </c>
      <c r="E885" s="26">
        <v>0.1</v>
      </c>
      <c r="F885" s="33">
        <v>45838.0</v>
      </c>
      <c r="G885" s="27" t="s">
        <v>187</v>
      </c>
      <c r="H885" s="27" t="s">
        <v>1487</v>
      </c>
    </row>
    <row r="886" ht="15.75" customHeight="1">
      <c r="A886" s="25" t="s">
        <v>2376</v>
      </c>
      <c r="B886" s="25" t="s">
        <v>1425</v>
      </c>
      <c r="C886" s="25" t="s">
        <v>333</v>
      </c>
      <c r="D886" s="25" t="s">
        <v>1489</v>
      </c>
      <c r="E886" s="24">
        <v>0.0</v>
      </c>
      <c r="F886" s="30">
        <v>45697.0</v>
      </c>
      <c r="G886" s="25" t="s">
        <v>187</v>
      </c>
      <c r="H886" s="25" t="s">
        <v>1487</v>
      </c>
    </row>
    <row r="887" ht="15.75" customHeight="1">
      <c r="A887" s="27" t="s">
        <v>2377</v>
      </c>
      <c r="B887" s="27" t="s">
        <v>1425</v>
      </c>
      <c r="C887" s="27" t="s">
        <v>266</v>
      </c>
      <c r="D887" s="27" t="s">
        <v>1495</v>
      </c>
      <c r="E887" s="26">
        <v>0.4</v>
      </c>
      <c r="F887" s="33">
        <v>44944.0</v>
      </c>
      <c r="G887" s="27" t="s">
        <v>187</v>
      </c>
      <c r="H887" s="27" t="s">
        <v>1493</v>
      </c>
    </row>
    <row r="888" ht="15.75" customHeight="1">
      <c r="A888" s="25" t="s">
        <v>2378</v>
      </c>
      <c r="B888" s="25" t="s">
        <v>1425</v>
      </c>
      <c r="C888" s="25" t="s">
        <v>365</v>
      </c>
      <c r="D888" s="25" t="s">
        <v>1495</v>
      </c>
      <c r="E888" s="24">
        <v>0.0</v>
      </c>
      <c r="F888" s="30">
        <v>45837.0</v>
      </c>
      <c r="G888" s="25" t="s">
        <v>187</v>
      </c>
      <c r="H888" s="25" t="s">
        <v>1493</v>
      </c>
    </row>
    <row r="889" ht="15.75" customHeight="1">
      <c r="A889" s="27" t="s">
        <v>2379</v>
      </c>
      <c r="B889" s="27" t="s">
        <v>1425</v>
      </c>
      <c r="C889" s="27" t="s">
        <v>374</v>
      </c>
      <c r="D889" s="27" t="s">
        <v>1489</v>
      </c>
      <c r="E889" s="26">
        <v>0.5</v>
      </c>
      <c r="F889" s="33">
        <v>45502.0</v>
      </c>
      <c r="G889" s="27" t="s">
        <v>187</v>
      </c>
      <c r="H889" s="27" t="s">
        <v>1487</v>
      </c>
    </row>
    <row r="890" ht="15.75" customHeight="1">
      <c r="A890" s="25" t="s">
        <v>2380</v>
      </c>
      <c r="B890" s="25" t="s">
        <v>1431</v>
      </c>
      <c r="C890" s="25" t="s">
        <v>329</v>
      </c>
      <c r="D890" s="25" t="s">
        <v>1489</v>
      </c>
      <c r="E890" s="24">
        <v>1.2</v>
      </c>
      <c r="F890" s="30">
        <v>45355.0</v>
      </c>
      <c r="G890" s="25" t="s">
        <v>181</v>
      </c>
      <c r="H890" s="25" t="s">
        <v>1493</v>
      </c>
    </row>
    <row r="891" ht="15.75" customHeight="1">
      <c r="A891" s="27" t="s">
        <v>2381</v>
      </c>
      <c r="B891" s="27" t="s">
        <v>1431</v>
      </c>
      <c r="C891" s="27" t="s">
        <v>340</v>
      </c>
      <c r="D891" s="27" t="s">
        <v>1489</v>
      </c>
      <c r="E891" s="26">
        <v>1.7</v>
      </c>
      <c r="F891" s="33">
        <v>45738.0</v>
      </c>
      <c r="G891" s="27" t="s">
        <v>187</v>
      </c>
      <c r="H891" s="27" t="s">
        <v>1493</v>
      </c>
    </row>
    <row r="892" ht="15.75" customHeight="1">
      <c r="A892" s="25" t="s">
        <v>2382</v>
      </c>
      <c r="B892" s="25" t="s">
        <v>1431</v>
      </c>
      <c r="C892" s="25" t="s">
        <v>301</v>
      </c>
      <c r="D892" s="25" t="s">
        <v>1492</v>
      </c>
      <c r="E892" s="24">
        <v>1.4</v>
      </c>
      <c r="F892" s="30">
        <v>45938.0</v>
      </c>
      <c r="G892" s="25" t="s">
        <v>187</v>
      </c>
      <c r="H892" s="25" t="s">
        <v>1493</v>
      </c>
    </row>
    <row r="893" ht="15.75" customHeight="1">
      <c r="A893" s="27" t="s">
        <v>2383</v>
      </c>
      <c r="B893" s="27" t="s">
        <v>1431</v>
      </c>
      <c r="C893" s="27" t="s">
        <v>253</v>
      </c>
      <c r="D893" s="27" t="s">
        <v>1495</v>
      </c>
      <c r="E893" s="26">
        <v>1.5</v>
      </c>
      <c r="F893" s="33">
        <v>45286.0</v>
      </c>
      <c r="G893" s="27" t="s">
        <v>187</v>
      </c>
      <c r="H893" s="27" t="s">
        <v>1493</v>
      </c>
    </row>
    <row r="894" ht="15.75" customHeight="1">
      <c r="A894" s="25" t="s">
        <v>2384</v>
      </c>
      <c r="B894" s="25" t="s">
        <v>1431</v>
      </c>
      <c r="C894" s="25" t="s">
        <v>298</v>
      </c>
      <c r="D894" s="25" t="s">
        <v>1495</v>
      </c>
      <c r="E894" s="24">
        <v>1.6</v>
      </c>
      <c r="F894" s="30">
        <v>45187.0</v>
      </c>
      <c r="G894" s="25" t="s">
        <v>187</v>
      </c>
      <c r="H894" s="25" t="s">
        <v>1496</v>
      </c>
    </row>
    <row r="895" ht="15.75" customHeight="1">
      <c r="A895" s="27" t="s">
        <v>2385</v>
      </c>
      <c r="B895" s="27" t="s">
        <v>1431</v>
      </c>
      <c r="C895" s="27" t="s">
        <v>370</v>
      </c>
      <c r="D895" s="27" t="s">
        <v>1492</v>
      </c>
      <c r="E895" s="26">
        <v>1.8</v>
      </c>
      <c r="F895" s="33">
        <v>45998.0</v>
      </c>
      <c r="G895" s="27" t="s">
        <v>187</v>
      </c>
      <c r="H895" s="27" t="s">
        <v>1487</v>
      </c>
    </row>
    <row r="896" ht="15.75" customHeight="1">
      <c r="A896" s="25" t="s">
        <v>2386</v>
      </c>
      <c r="B896" s="25" t="s">
        <v>1437</v>
      </c>
      <c r="C896" s="25" t="s">
        <v>229</v>
      </c>
      <c r="D896" s="25" t="s">
        <v>1492</v>
      </c>
      <c r="E896" s="24">
        <v>1.5</v>
      </c>
      <c r="F896" s="30">
        <v>45033.0</v>
      </c>
      <c r="G896" s="25" t="s">
        <v>181</v>
      </c>
      <c r="H896" s="25" t="s">
        <v>1496</v>
      </c>
    </row>
    <row r="897" ht="15.75" customHeight="1">
      <c r="A897" s="27" t="s">
        <v>2387</v>
      </c>
      <c r="B897" s="27" t="s">
        <v>1437</v>
      </c>
      <c r="C897" s="27" t="s">
        <v>340</v>
      </c>
      <c r="D897" s="27" t="s">
        <v>1495</v>
      </c>
      <c r="E897" s="26">
        <v>2.0</v>
      </c>
      <c r="F897" s="33">
        <v>45488.0</v>
      </c>
      <c r="G897" s="27" t="s">
        <v>187</v>
      </c>
      <c r="H897" s="27" t="s">
        <v>1493</v>
      </c>
    </row>
    <row r="898" ht="15.75" customHeight="1">
      <c r="A898" s="25" t="s">
        <v>2388</v>
      </c>
      <c r="B898" s="25" t="s">
        <v>1437</v>
      </c>
      <c r="C898" s="25" t="s">
        <v>305</v>
      </c>
      <c r="D898" s="25" t="s">
        <v>1492</v>
      </c>
      <c r="E898" s="24">
        <v>1.2</v>
      </c>
      <c r="F898" s="30">
        <v>45667.0</v>
      </c>
      <c r="G898" s="25" t="s">
        <v>187</v>
      </c>
      <c r="H898" s="25" t="s">
        <v>1487</v>
      </c>
    </row>
    <row r="899" ht="15.75" customHeight="1">
      <c r="A899" s="27" t="s">
        <v>2389</v>
      </c>
      <c r="B899" s="27" t="s">
        <v>1437</v>
      </c>
      <c r="C899" s="27" t="s">
        <v>253</v>
      </c>
      <c r="D899" s="27" t="s">
        <v>1492</v>
      </c>
      <c r="E899" s="26">
        <v>1.8</v>
      </c>
      <c r="F899" s="33">
        <v>45386.0</v>
      </c>
      <c r="G899" s="27" t="s">
        <v>187</v>
      </c>
      <c r="H899" s="27" t="s">
        <v>1493</v>
      </c>
    </row>
    <row r="900" ht="15.75" customHeight="1">
      <c r="A900" s="25" t="s">
        <v>2390</v>
      </c>
      <c r="B900" s="25" t="s">
        <v>1443</v>
      </c>
      <c r="C900" s="25" t="s">
        <v>370</v>
      </c>
      <c r="D900" s="25" t="s">
        <v>1492</v>
      </c>
      <c r="E900" s="24">
        <v>0.0</v>
      </c>
      <c r="F900" s="30">
        <v>45389.0</v>
      </c>
      <c r="G900" s="25" t="s">
        <v>181</v>
      </c>
      <c r="H900" s="25" t="s">
        <v>1487</v>
      </c>
    </row>
    <row r="901" ht="15.75" customHeight="1">
      <c r="A901" s="27" t="s">
        <v>2391</v>
      </c>
      <c r="B901" s="27" t="s">
        <v>1443</v>
      </c>
      <c r="C901" s="27" t="s">
        <v>333</v>
      </c>
      <c r="D901" s="27" t="s">
        <v>1495</v>
      </c>
      <c r="E901" s="26">
        <v>0.5</v>
      </c>
      <c r="F901" s="33">
        <v>45438.0</v>
      </c>
      <c r="G901" s="27" t="s">
        <v>187</v>
      </c>
      <c r="H901" s="27" t="s">
        <v>1493</v>
      </c>
    </row>
    <row r="902" ht="15.75" customHeight="1">
      <c r="A902" s="25" t="s">
        <v>2392</v>
      </c>
      <c r="B902" s="25" t="s">
        <v>1443</v>
      </c>
      <c r="C902" s="25" t="s">
        <v>266</v>
      </c>
      <c r="D902" s="25" t="s">
        <v>1489</v>
      </c>
      <c r="E902" s="24">
        <v>0.3</v>
      </c>
      <c r="F902" s="30">
        <v>45125.0</v>
      </c>
      <c r="G902" s="25" t="s">
        <v>187</v>
      </c>
      <c r="H902" s="25" t="s">
        <v>1493</v>
      </c>
    </row>
    <row r="903" ht="15.75" customHeight="1">
      <c r="A903" s="27" t="s">
        <v>2393</v>
      </c>
      <c r="B903" s="27" t="s">
        <v>1443</v>
      </c>
      <c r="C903" s="27" t="s">
        <v>365</v>
      </c>
      <c r="D903" s="27" t="s">
        <v>1495</v>
      </c>
      <c r="E903" s="26">
        <v>0.1</v>
      </c>
      <c r="F903" s="33">
        <v>45611.0</v>
      </c>
      <c r="G903" s="27" t="s">
        <v>187</v>
      </c>
      <c r="H903" s="27" t="s">
        <v>1496</v>
      </c>
    </row>
    <row r="904" ht="15.75" customHeight="1">
      <c r="A904" s="25" t="s">
        <v>2394</v>
      </c>
      <c r="B904" s="25" t="s">
        <v>1443</v>
      </c>
      <c r="C904" s="25" t="s">
        <v>280</v>
      </c>
      <c r="D904" s="25" t="s">
        <v>1489</v>
      </c>
      <c r="E904" s="24">
        <v>0.3</v>
      </c>
      <c r="F904" s="30">
        <v>45624.0</v>
      </c>
      <c r="G904" s="25" t="s">
        <v>187</v>
      </c>
      <c r="H904" s="25" t="s">
        <v>1493</v>
      </c>
    </row>
    <row r="905" ht="15.75" customHeight="1">
      <c r="A905" s="27" t="s">
        <v>2395</v>
      </c>
      <c r="B905" s="27" t="s">
        <v>1443</v>
      </c>
      <c r="C905" s="27" t="s">
        <v>321</v>
      </c>
      <c r="D905" s="27" t="s">
        <v>1492</v>
      </c>
      <c r="E905" s="26">
        <v>0.2</v>
      </c>
      <c r="F905" s="33">
        <v>45411.0</v>
      </c>
      <c r="G905" s="27" t="s">
        <v>187</v>
      </c>
      <c r="H905" s="27" t="s">
        <v>1493</v>
      </c>
    </row>
    <row r="906" ht="15.75" customHeight="1">
      <c r="A906" s="25" t="s">
        <v>2396</v>
      </c>
      <c r="B906" s="25" t="s">
        <v>1443</v>
      </c>
      <c r="C906" s="25" t="s">
        <v>277</v>
      </c>
      <c r="D906" s="25" t="s">
        <v>1492</v>
      </c>
      <c r="E906" s="24">
        <v>0.2</v>
      </c>
      <c r="F906" s="30">
        <v>45122.0</v>
      </c>
      <c r="G906" s="25" t="s">
        <v>187</v>
      </c>
      <c r="H906" s="25" t="s">
        <v>1487</v>
      </c>
    </row>
    <row r="907" ht="15.75" customHeight="1">
      <c r="A907" s="27" t="s">
        <v>2397</v>
      </c>
      <c r="B907" s="27" t="s">
        <v>1443</v>
      </c>
      <c r="C907" s="27" t="s">
        <v>291</v>
      </c>
      <c r="D907" s="27" t="s">
        <v>1495</v>
      </c>
      <c r="E907" s="26">
        <v>0.4</v>
      </c>
      <c r="F907" s="33">
        <v>45051.0</v>
      </c>
      <c r="G907" s="27" t="s">
        <v>187</v>
      </c>
      <c r="H907" s="27" t="s">
        <v>1493</v>
      </c>
    </row>
    <row r="908" ht="15.75" customHeight="1">
      <c r="A908" s="25" t="s">
        <v>2398</v>
      </c>
      <c r="B908" s="25" t="s">
        <v>1449</v>
      </c>
      <c r="C908" s="25" t="s">
        <v>246</v>
      </c>
      <c r="D908" s="25" t="s">
        <v>1489</v>
      </c>
      <c r="E908" s="24">
        <v>0.6</v>
      </c>
      <c r="F908" s="30">
        <v>45033.0</v>
      </c>
      <c r="G908" s="25" t="s">
        <v>181</v>
      </c>
      <c r="H908" s="25" t="s">
        <v>1496</v>
      </c>
    </row>
    <row r="909" ht="15.75" customHeight="1">
      <c r="A909" s="27" t="s">
        <v>2399</v>
      </c>
      <c r="B909" s="27" t="s">
        <v>1449</v>
      </c>
      <c r="C909" s="27" t="s">
        <v>344</v>
      </c>
      <c r="D909" s="27" t="s">
        <v>1492</v>
      </c>
      <c r="E909" s="26">
        <v>1.5</v>
      </c>
      <c r="F909" s="33">
        <v>45768.0</v>
      </c>
      <c r="G909" s="27" t="s">
        <v>187</v>
      </c>
      <c r="H909" s="27" t="s">
        <v>1493</v>
      </c>
    </row>
    <row r="910" ht="15.75" customHeight="1">
      <c r="A910" s="25" t="s">
        <v>2400</v>
      </c>
      <c r="B910" s="25" t="s">
        <v>1449</v>
      </c>
      <c r="C910" s="25" t="s">
        <v>370</v>
      </c>
      <c r="D910" s="25" t="s">
        <v>1492</v>
      </c>
      <c r="E910" s="24">
        <v>2.5</v>
      </c>
      <c r="F910" s="30">
        <v>44948.0</v>
      </c>
      <c r="G910" s="25" t="s">
        <v>187</v>
      </c>
      <c r="H910" s="25" t="s">
        <v>1496</v>
      </c>
    </row>
    <row r="911" ht="15.75" customHeight="1">
      <c r="A911" s="27" t="s">
        <v>2401</v>
      </c>
      <c r="B911" s="27" t="s">
        <v>1449</v>
      </c>
      <c r="C911" s="27" t="s">
        <v>348</v>
      </c>
      <c r="D911" s="27" t="s">
        <v>1495</v>
      </c>
      <c r="E911" s="26">
        <v>2.5</v>
      </c>
      <c r="F911" s="33">
        <v>45134.0</v>
      </c>
      <c r="G911" s="27" t="s">
        <v>187</v>
      </c>
      <c r="H911" s="27" t="s">
        <v>1496</v>
      </c>
    </row>
    <row r="912" ht="15.75" customHeight="1">
      <c r="A912" s="25" t="s">
        <v>2402</v>
      </c>
      <c r="B912" s="25" t="s">
        <v>1455</v>
      </c>
      <c r="C912" s="25" t="s">
        <v>329</v>
      </c>
      <c r="D912" s="25" t="s">
        <v>1495</v>
      </c>
      <c r="E912" s="24">
        <v>0.5</v>
      </c>
      <c r="F912" s="30">
        <v>45323.0</v>
      </c>
      <c r="G912" s="25" t="s">
        <v>181</v>
      </c>
      <c r="H912" s="25" t="s">
        <v>1487</v>
      </c>
    </row>
    <row r="913" ht="15.75" customHeight="1">
      <c r="A913" s="27" t="s">
        <v>2403</v>
      </c>
      <c r="B913" s="27" t="s">
        <v>1455</v>
      </c>
      <c r="C913" s="27" t="s">
        <v>288</v>
      </c>
      <c r="D913" s="27" t="s">
        <v>1489</v>
      </c>
      <c r="E913" s="26">
        <v>0.2</v>
      </c>
      <c r="F913" s="33">
        <v>45654.0</v>
      </c>
      <c r="G913" s="27" t="s">
        <v>187</v>
      </c>
      <c r="H913" s="27" t="s">
        <v>1496</v>
      </c>
    </row>
    <row r="914" ht="15.75" customHeight="1">
      <c r="A914" s="25" t="s">
        <v>2404</v>
      </c>
      <c r="B914" s="25" t="s">
        <v>1455</v>
      </c>
      <c r="C914" s="25" t="s">
        <v>336</v>
      </c>
      <c r="D914" s="25" t="s">
        <v>1495</v>
      </c>
      <c r="E914" s="24">
        <v>0.2</v>
      </c>
      <c r="F914" s="30">
        <v>45307.0</v>
      </c>
      <c r="G914" s="25" t="s">
        <v>187</v>
      </c>
      <c r="H914" s="25" t="s">
        <v>1493</v>
      </c>
    </row>
    <row r="915" ht="15.75" customHeight="1">
      <c r="A915" s="27" t="s">
        <v>2405</v>
      </c>
      <c r="B915" s="27" t="s">
        <v>1455</v>
      </c>
      <c r="C915" s="27" t="s">
        <v>365</v>
      </c>
      <c r="D915" s="27" t="s">
        <v>1489</v>
      </c>
      <c r="E915" s="26">
        <v>0.5</v>
      </c>
      <c r="F915" s="33">
        <v>45188.0</v>
      </c>
      <c r="G915" s="27" t="s">
        <v>187</v>
      </c>
      <c r="H915" s="27" t="s">
        <v>1496</v>
      </c>
    </row>
    <row r="916" ht="15.75" customHeight="1">
      <c r="A916" s="25" t="s">
        <v>2406</v>
      </c>
      <c r="B916" s="25" t="s">
        <v>1461</v>
      </c>
      <c r="C916" s="25" t="s">
        <v>270</v>
      </c>
      <c r="D916" s="25" t="s">
        <v>1495</v>
      </c>
      <c r="E916" s="24">
        <v>0.4</v>
      </c>
      <c r="F916" s="30">
        <v>44943.0</v>
      </c>
      <c r="G916" s="25" t="s">
        <v>181</v>
      </c>
      <c r="H916" s="25" t="s">
        <v>1487</v>
      </c>
    </row>
    <row r="917" ht="15.75" customHeight="1">
      <c r="A917" s="27" t="s">
        <v>2407</v>
      </c>
      <c r="B917" s="27" t="s">
        <v>1461</v>
      </c>
      <c r="C917" s="27" t="s">
        <v>288</v>
      </c>
      <c r="D917" s="27" t="s">
        <v>1495</v>
      </c>
      <c r="E917" s="26">
        <v>0.2</v>
      </c>
      <c r="F917" s="33">
        <v>45044.0</v>
      </c>
      <c r="G917" s="27" t="s">
        <v>187</v>
      </c>
      <c r="H917" s="27" t="s">
        <v>1493</v>
      </c>
    </row>
    <row r="918" ht="15.75" customHeight="1">
      <c r="A918" s="25" t="s">
        <v>2408</v>
      </c>
      <c r="B918" s="25" t="s">
        <v>1461</v>
      </c>
      <c r="C918" s="25" t="s">
        <v>301</v>
      </c>
      <c r="D918" s="25" t="s">
        <v>1495</v>
      </c>
      <c r="E918" s="24">
        <v>0.1</v>
      </c>
      <c r="F918" s="30">
        <v>45038.0</v>
      </c>
      <c r="G918" s="25" t="s">
        <v>187</v>
      </c>
      <c r="H918" s="25" t="s">
        <v>1496</v>
      </c>
    </row>
    <row r="919" ht="15.75" customHeight="1">
      <c r="A919" s="27" t="s">
        <v>2409</v>
      </c>
      <c r="B919" s="27" t="s">
        <v>1461</v>
      </c>
      <c r="C919" s="27" t="s">
        <v>344</v>
      </c>
      <c r="D919" s="27" t="s">
        <v>1495</v>
      </c>
      <c r="E919" s="26">
        <v>0.0</v>
      </c>
      <c r="F919" s="33">
        <v>45339.0</v>
      </c>
      <c r="G919" s="27" t="s">
        <v>187</v>
      </c>
      <c r="H919" s="27" t="s">
        <v>1493</v>
      </c>
    </row>
    <row r="920" ht="15.75" customHeight="1">
      <c r="A920" s="25" t="s">
        <v>2410</v>
      </c>
      <c r="B920" s="25" t="s">
        <v>1461</v>
      </c>
      <c r="C920" s="25" t="s">
        <v>370</v>
      </c>
      <c r="D920" s="25" t="s">
        <v>1495</v>
      </c>
      <c r="E920" s="24">
        <v>0.2</v>
      </c>
      <c r="F920" s="30">
        <v>45884.0</v>
      </c>
      <c r="G920" s="25" t="s">
        <v>187</v>
      </c>
      <c r="H920" s="25" t="s">
        <v>1487</v>
      </c>
    </row>
    <row r="921" ht="15.75" customHeight="1">
      <c r="A921" s="27" t="s">
        <v>2411</v>
      </c>
      <c r="B921" s="27" t="s">
        <v>1461</v>
      </c>
      <c r="C921" s="27" t="s">
        <v>336</v>
      </c>
      <c r="D921" s="27" t="s">
        <v>1492</v>
      </c>
      <c r="E921" s="26">
        <v>0.1</v>
      </c>
      <c r="F921" s="33">
        <v>45614.0</v>
      </c>
      <c r="G921" s="27" t="s">
        <v>187</v>
      </c>
      <c r="H921" s="27" t="s">
        <v>1487</v>
      </c>
    </row>
    <row r="922" ht="15.75" customHeight="1">
      <c r="A922" s="25" t="s">
        <v>2412</v>
      </c>
      <c r="B922" s="25" t="s">
        <v>1467</v>
      </c>
      <c r="C922" s="25" t="s">
        <v>242</v>
      </c>
      <c r="D922" s="25" t="s">
        <v>1489</v>
      </c>
      <c r="E922" s="24">
        <v>0.4</v>
      </c>
      <c r="F922" s="30">
        <v>45363.0</v>
      </c>
      <c r="G922" s="25" t="s">
        <v>181</v>
      </c>
      <c r="H922" s="25" t="s">
        <v>1493</v>
      </c>
    </row>
    <row r="923" ht="15.75" customHeight="1">
      <c r="A923" s="27" t="s">
        <v>2413</v>
      </c>
      <c r="B923" s="27" t="s">
        <v>1467</v>
      </c>
      <c r="C923" s="27" t="s">
        <v>333</v>
      </c>
      <c r="D923" s="27" t="s">
        <v>1495</v>
      </c>
      <c r="E923" s="26">
        <v>0.1</v>
      </c>
      <c r="F923" s="33">
        <v>45605.0</v>
      </c>
      <c r="G923" s="27" t="s">
        <v>187</v>
      </c>
      <c r="H923" s="27" t="s">
        <v>1487</v>
      </c>
    </row>
    <row r="924" ht="15.75" customHeight="1">
      <c r="A924" s="25" t="s">
        <v>2414</v>
      </c>
      <c r="B924" s="25" t="s">
        <v>1467</v>
      </c>
      <c r="C924" s="25" t="s">
        <v>266</v>
      </c>
      <c r="D924" s="25" t="s">
        <v>1495</v>
      </c>
      <c r="E924" s="24">
        <v>0.3</v>
      </c>
      <c r="F924" s="30">
        <v>44940.0</v>
      </c>
      <c r="G924" s="25" t="s">
        <v>187</v>
      </c>
      <c r="H924" s="25" t="s">
        <v>1496</v>
      </c>
    </row>
    <row r="925" ht="15.75" customHeight="1">
      <c r="A925" s="27" t="s">
        <v>2415</v>
      </c>
      <c r="B925" s="27" t="s">
        <v>1467</v>
      </c>
      <c r="C925" s="27" t="s">
        <v>365</v>
      </c>
      <c r="D925" s="27" t="s">
        <v>1489</v>
      </c>
      <c r="E925" s="26">
        <v>0.3</v>
      </c>
      <c r="F925" s="33">
        <v>45162.0</v>
      </c>
      <c r="G925" s="27" t="s">
        <v>187</v>
      </c>
      <c r="H925" s="27" t="s">
        <v>1493</v>
      </c>
    </row>
    <row r="926" ht="15.75" customHeight="1">
      <c r="A926" s="25" t="s">
        <v>2416</v>
      </c>
      <c r="B926" s="25" t="s">
        <v>1467</v>
      </c>
      <c r="C926" s="25" t="s">
        <v>321</v>
      </c>
      <c r="D926" s="25" t="s">
        <v>1489</v>
      </c>
      <c r="E926" s="24">
        <v>0.4</v>
      </c>
      <c r="F926" s="30">
        <v>45664.0</v>
      </c>
      <c r="G926" s="25" t="s">
        <v>187</v>
      </c>
      <c r="H926" s="25" t="s">
        <v>1493</v>
      </c>
    </row>
    <row r="927" ht="15.75" customHeight="1">
      <c r="A927" s="27" t="s">
        <v>2417</v>
      </c>
      <c r="B927" s="27" t="s">
        <v>1467</v>
      </c>
      <c r="C927" s="27" t="s">
        <v>359</v>
      </c>
      <c r="D927" s="27" t="s">
        <v>1486</v>
      </c>
      <c r="E927" s="26">
        <v>0.4</v>
      </c>
      <c r="F927" s="33">
        <v>45508.0</v>
      </c>
      <c r="G927" s="27" t="s">
        <v>187</v>
      </c>
      <c r="H927" s="27" t="s">
        <v>1493</v>
      </c>
    </row>
    <row r="928" ht="15.75" customHeight="1">
      <c r="A928" s="25" t="s">
        <v>2418</v>
      </c>
      <c r="B928" s="25" t="s">
        <v>1467</v>
      </c>
      <c r="C928" s="25" t="s">
        <v>374</v>
      </c>
      <c r="D928" s="25" t="s">
        <v>1489</v>
      </c>
      <c r="E928" s="24">
        <v>0.4</v>
      </c>
      <c r="F928" s="30">
        <v>45283.0</v>
      </c>
      <c r="G928" s="25" t="s">
        <v>187</v>
      </c>
      <c r="H928" s="25" t="s">
        <v>1496</v>
      </c>
    </row>
    <row r="929" ht="15.75" customHeight="1">
      <c r="A929" s="27" t="s">
        <v>2419</v>
      </c>
      <c r="B929" s="27" t="s">
        <v>1467</v>
      </c>
      <c r="C929" s="27" t="s">
        <v>277</v>
      </c>
      <c r="D929" s="27" t="s">
        <v>1492</v>
      </c>
      <c r="E929" s="26">
        <v>0.4</v>
      </c>
      <c r="F929" s="33">
        <v>45328.0</v>
      </c>
      <c r="G929" s="27" t="s">
        <v>187</v>
      </c>
      <c r="H929" s="27" t="s">
        <v>1493</v>
      </c>
    </row>
    <row r="930" ht="15.75" customHeight="1">
      <c r="A930" s="25" t="s">
        <v>2420</v>
      </c>
      <c r="B930" s="25" t="s">
        <v>1467</v>
      </c>
      <c r="C930" s="25" t="s">
        <v>250</v>
      </c>
      <c r="D930" s="25" t="s">
        <v>1489</v>
      </c>
      <c r="E930" s="24">
        <v>0.4</v>
      </c>
      <c r="F930" s="30">
        <v>45134.0</v>
      </c>
      <c r="G930" s="25" t="s">
        <v>187</v>
      </c>
      <c r="H930" s="25" t="s">
        <v>1493</v>
      </c>
    </row>
    <row r="931" ht="15.75" customHeight="1">
      <c r="A931" s="27" t="s">
        <v>2421</v>
      </c>
      <c r="B931" s="27" t="s">
        <v>1473</v>
      </c>
      <c r="C931" s="27" t="s">
        <v>242</v>
      </c>
      <c r="D931" s="27" t="s">
        <v>1492</v>
      </c>
      <c r="E931" s="26">
        <v>1.5</v>
      </c>
      <c r="F931" s="33">
        <v>46006.0</v>
      </c>
      <c r="G931" s="27" t="s">
        <v>181</v>
      </c>
      <c r="H931" s="27" t="s">
        <v>1487</v>
      </c>
    </row>
    <row r="932" ht="15.75" customHeight="1">
      <c r="A932" s="25" t="s">
        <v>2422</v>
      </c>
      <c r="B932" s="25" t="s">
        <v>1473</v>
      </c>
      <c r="C932" s="25" t="s">
        <v>329</v>
      </c>
      <c r="D932" s="25" t="s">
        <v>1492</v>
      </c>
      <c r="E932" s="24">
        <v>1.8</v>
      </c>
      <c r="F932" s="30">
        <v>45060.0</v>
      </c>
      <c r="G932" s="25" t="s">
        <v>187</v>
      </c>
      <c r="H932" s="25" t="s">
        <v>1493</v>
      </c>
    </row>
    <row r="933" ht="15.75" customHeight="1">
      <c r="A933" s="27" t="s">
        <v>2423</v>
      </c>
      <c r="B933" s="27" t="s">
        <v>1473</v>
      </c>
      <c r="C933" s="27" t="s">
        <v>370</v>
      </c>
      <c r="D933" s="27" t="s">
        <v>1489</v>
      </c>
      <c r="E933" s="26">
        <v>1.9</v>
      </c>
      <c r="F933" s="33">
        <v>45315.0</v>
      </c>
      <c r="G933" s="27" t="s">
        <v>187</v>
      </c>
      <c r="H933" s="27" t="s">
        <v>1493</v>
      </c>
    </row>
    <row r="934" ht="15.75" customHeight="1">
      <c r="A934" s="25" t="s">
        <v>2424</v>
      </c>
      <c r="B934" s="25" t="s">
        <v>1473</v>
      </c>
      <c r="C934" s="25" t="s">
        <v>301</v>
      </c>
      <c r="D934" s="25" t="s">
        <v>1495</v>
      </c>
      <c r="E934" s="24">
        <v>1.5</v>
      </c>
      <c r="F934" s="30">
        <v>45578.0</v>
      </c>
      <c r="G934" s="25" t="s">
        <v>187</v>
      </c>
      <c r="H934" s="25" t="s">
        <v>1487</v>
      </c>
    </row>
    <row r="935" ht="15.75" customHeight="1">
      <c r="A935" s="27" t="s">
        <v>2425</v>
      </c>
      <c r="B935" s="27" t="s">
        <v>1473</v>
      </c>
      <c r="C935" s="27" t="s">
        <v>356</v>
      </c>
      <c r="D935" s="27" t="s">
        <v>1495</v>
      </c>
      <c r="E935" s="26">
        <v>1.5</v>
      </c>
      <c r="F935" s="33">
        <v>45021.0</v>
      </c>
      <c r="G935" s="27" t="s">
        <v>187</v>
      </c>
      <c r="H935" s="27" t="s">
        <v>1487</v>
      </c>
    </row>
    <row r="936" ht="15.75" customHeight="1">
      <c r="A936" s="25" t="s">
        <v>2426</v>
      </c>
      <c r="B936" s="25" t="s">
        <v>1473</v>
      </c>
      <c r="C936" s="25" t="s">
        <v>325</v>
      </c>
      <c r="D936" s="25" t="s">
        <v>1495</v>
      </c>
      <c r="E936" s="24">
        <v>1.8</v>
      </c>
      <c r="F936" s="30">
        <v>45529.0</v>
      </c>
      <c r="G936" s="25" t="s">
        <v>187</v>
      </c>
      <c r="H936" s="25" t="s">
        <v>1493</v>
      </c>
    </row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6F1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36.0"/>
    <col customWidth="1" min="3" max="3" width="24.0"/>
    <col customWidth="1" min="4" max="4" width="16.0"/>
    <col customWidth="1" min="5" max="6" width="12.0"/>
    <col customWidth="1" min="7" max="7" width="13.0"/>
    <col customWidth="1" min="8" max="8" width="16.0"/>
    <col customWidth="1" min="9" max="9" width="14.0"/>
    <col customWidth="1" min="10" max="10" width="20.0"/>
    <col customWidth="1" min="11" max="11" width="10.0"/>
    <col customWidth="1" min="12" max="12" width="14.0"/>
    <col customWidth="1" min="13" max="13" width="28.0"/>
    <col customWidth="1" min="14" max="26" width="8.71"/>
  </cols>
  <sheetData>
    <row r="1" ht="30.0" customHeight="1">
      <c r="A1" s="23" t="s">
        <v>2427</v>
      </c>
      <c r="B1" s="23" t="s">
        <v>2428</v>
      </c>
      <c r="C1" s="23" t="s">
        <v>2429</v>
      </c>
      <c r="D1" s="23" t="s">
        <v>2430</v>
      </c>
      <c r="E1" s="23" t="s">
        <v>2431</v>
      </c>
      <c r="F1" s="23" t="s">
        <v>62</v>
      </c>
      <c r="G1" s="23" t="s">
        <v>2432</v>
      </c>
      <c r="H1" s="23" t="s">
        <v>2433</v>
      </c>
      <c r="I1" s="23" t="s">
        <v>140</v>
      </c>
      <c r="J1" s="23" t="s">
        <v>2434</v>
      </c>
      <c r="K1" s="23" t="s">
        <v>400</v>
      </c>
      <c r="L1" s="23" t="s">
        <v>2435</v>
      </c>
      <c r="M1" s="23" t="s">
        <v>2436</v>
      </c>
    </row>
    <row r="2">
      <c r="A2" s="25" t="s">
        <v>2437</v>
      </c>
      <c r="B2" s="25" t="s">
        <v>2438</v>
      </c>
      <c r="C2" s="25" t="s">
        <v>2439</v>
      </c>
      <c r="D2" s="25" t="s">
        <v>2440</v>
      </c>
      <c r="E2" s="25" t="s">
        <v>2441</v>
      </c>
      <c r="F2" s="25" t="s">
        <v>66</v>
      </c>
      <c r="G2" s="30">
        <v>44941.0</v>
      </c>
      <c r="H2" s="30">
        <v>45382.0</v>
      </c>
      <c r="I2" s="25" t="s">
        <v>19</v>
      </c>
      <c r="J2" s="37">
        <v>4.5E7</v>
      </c>
      <c r="K2" s="25" t="s">
        <v>419</v>
      </c>
      <c r="L2" s="25" t="s">
        <v>177</v>
      </c>
      <c r="M2" s="25" t="s">
        <v>2442</v>
      </c>
    </row>
    <row r="3">
      <c r="A3" s="27" t="s">
        <v>2443</v>
      </c>
      <c r="B3" s="27" t="s">
        <v>2444</v>
      </c>
      <c r="C3" s="27" t="s">
        <v>2445</v>
      </c>
      <c r="D3" s="27" t="s">
        <v>2446</v>
      </c>
      <c r="E3" s="27" t="s">
        <v>2447</v>
      </c>
      <c r="F3" s="27" t="s">
        <v>66</v>
      </c>
      <c r="G3" s="33">
        <v>45017.0</v>
      </c>
      <c r="H3" s="33">
        <v>45322.0</v>
      </c>
      <c r="I3" s="27" t="s">
        <v>23</v>
      </c>
      <c r="J3" s="38">
        <v>7.8E7</v>
      </c>
      <c r="K3" s="27" t="s">
        <v>419</v>
      </c>
      <c r="L3" s="27" t="s">
        <v>177</v>
      </c>
      <c r="M3" s="27" t="s">
        <v>360</v>
      </c>
    </row>
    <row r="4">
      <c r="A4" s="25" t="s">
        <v>2448</v>
      </c>
      <c r="B4" s="25" t="s">
        <v>2449</v>
      </c>
      <c r="C4" s="25" t="s">
        <v>2450</v>
      </c>
      <c r="D4" s="25" t="s">
        <v>2451</v>
      </c>
      <c r="E4" s="25" t="s">
        <v>2441</v>
      </c>
      <c r="F4" s="25" t="s">
        <v>65</v>
      </c>
      <c r="G4" s="30">
        <v>45170.0</v>
      </c>
      <c r="H4" s="30">
        <v>45747.0</v>
      </c>
      <c r="I4" s="25" t="s">
        <v>19</v>
      </c>
      <c r="J4" s="37">
        <v>9.2E7</v>
      </c>
      <c r="K4" s="25" t="s">
        <v>419</v>
      </c>
      <c r="L4" s="25" t="s">
        <v>183</v>
      </c>
      <c r="M4" s="25" t="s">
        <v>2452</v>
      </c>
    </row>
    <row r="5">
      <c r="A5" s="27" t="s">
        <v>2453</v>
      </c>
      <c r="B5" s="27" t="s">
        <v>2454</v>
      </c>
      <c r="C5" s="27" t="s">
        <v>2455</v>
      </c>
      <c r="D5" s="27" t="s">
        <v>2456</v>
      </c>
      <c r="E5" s="27" t="s">
        <v>2447</v>
      </c>
      <c r="F5" s="27" t="s">
        <v>65</v>
      </c>
      <c r="G5" s="33">
        <v>45323.0</v>
      </c>
      <c r="H5" s="33">
        <v>45838.0</v>
      </c>
      <c r="I5" s="27" t="s">
        <v>19</v>
      </c>
      <c r="J5" s="38">
        <v>3.8E7</v>
      </c>
      <c r="K5" s="27" t="s">
        <v>419</v>
      </c>
      <c r="L5" s="27" t="s">
        <v>192</v>
      </c>
      <c r="M5" s="27" t="s">
        <v>147</v>
      </c>
    </row>
    <row r="6">
      <c r="A6" s="25" t="s">
        <v>2457</v>
      </c>
      <c r="B6" s="25" t="s">
        <v>2458</v>
      </c>
      <c r="C6" s="25" t="s">
        <v>2459</v>
      </c>
      <c r="D6" s="25" t="s">
        <v>2460</v>
      </c>
      <c r="E6" s="25" t="s">
        <v>2441</v>
      </c>
      <c r="F6" s="25" t="s">
        <v>66</v>
      </c>
      <c r="G6" s="30">
        <v>44986.0</v>
      </c>
      <c r="H6" s="30">
        <v>45350.0</v>
      </c>
      <c r="I6" s="25" t="s">
        <v>19</v>
      </c>
      <c r="J6" s="37">
        <v>5.5E7</v>
      </c>
      <c r="K6" s="25" t="s">
        <v>419</v>
      </c>
      <c r="L6" s="25" t="s">
        <v>188</v>
      </c>
      <c r="M6" s="25" t="s">
        <v>2442</v>
      </c>
    </row>
    <row r="7">
      <c r="A7" s="27" t="s">
        <v>2461</v>
      </c>
      <c r="B7" s="27" t="s">
        <v>2462</v>
      </c>
      <c r="C7" s="27" t="s">
        <v>2463</v>
      </c>
      <c r="D7" s="27" t="s">
        <v>2464</v>
      </c>
      <c r="E7" s="27" t="s">
        <v>2447</v>
      </c>
      <c r="F7" s="27" t="s">
        <v>65</v>
      </c>
      <c r="G7" s="33">
        <v>45108.0</v>
      </c>
      <c r="H7" s="33">
        <v>46022.0</v>
      </c>
      <c r="I7" s="27" t="s">
        <v>35</v>
      </c>
      <c r="J7" s="38">
        <v>2.1E8</v>
      </c>
      <c r="K7" s="27" t="s">
        <v>419</v>
      </c>
      <c r="L7" s="27" t="s">
        <v>188</v>
      </c>
      <c r="M7" s="27" t="s">
        <v>2465</v>
      </c>
    </row>
    <row r="8">
      <c r="A8" s="25" t="s">
        <v>2466</v>
      </c>
      <c r="B8" s="25" t="s">
        <v>2467</v>
      </c>
      <c r="C8" s="25" t="s">
        <v>2468</v>
      </c>
      <c r="D8" s="25" t="s">
        <v>2469</v>
      </c>
      <c r="E8" s="25" t="s">
        <v>2441</v>
      </c>
      <c r="F8" s="25" t="s">
        <v>65</v>
      </c>
      <c r="G8" s="30">
        <v>45306.0</v>
      </c>
      <c r="H8" s="30">
        <v>45777.0</v>
      </c>
      <c r="I8" s="25" t="s">
        <v>27</v>
      </c>
      <c r="J8" s="37">
        <v>4.2E7</v>
      </c>
      <c r="K8" s="25" t="s">
        <v>419</v>
      </c>
      <c r="L8" s="25" t="s">
        <v>183</v>
      </c>
      <c r="M8" s="25" t="s">
        <v>147</v>
      </c>
    </row>
    <row r="9">
      <c r="A9" s="27" t="s">
        <v>2470</v>
      </c>
      <c r="B9" s="27" t="s">
        <v>2471</v>
      </c>
      <c r="C9" s="27" t="s">
        <v>2472</v>
      </c>
      <c r="D9" s="27" t="s">
        <v>2473</v>
      </c>
      <c r="E9" s="27" t="s">
        <v>2441</v>
      </c>
      <c r="F9" s="27" t="s">
        <v>66</v>
      </c>
      <c r="G9" s="33">
        <v>45078.0</v>
      </c>
      <c r="H9" s="33">
        <v>45443.0</v>
      </c>
      <c r="I9" s="27" t="s">
        <v>43</v>
      </c>
      <c r="J9" s="38">
        <v>6.7E7</v>
      </c>
      <c r="K9" s="27" t="s">
        <v>419</v>
      </c>
      <c r="L9" s="27" t="s">
        <v>192</v>
      </c>
      <c r="M9" s="27" t="s">
        <v>2474</v>
      </c>
    </row>
    <row r="10">
      <c r="A10" s="25" t="s">
        <v>2475</v>
      </c>
      <c r="B10" s="25" t="s">
        <v>2476</v>
      </c>
      <c r="C10" s="25" t="s">
        <v>2477</v>
      </c>
      <c r="D10" s="25" t="s">
        <v>2478</v>
      </c>
      <c r="E10" s="25" t="s">
        <v>2447</v>
      </c>
      <c r="F10" s="25" t="s">
        <v>65</v>
      </c>
      <c r="G10" s="30">
        <v>45352.0</v>
      </c>
      <c r="H10" s="30">
        <v>45930.0</v>
      </c>
      <c r="I10" s="25" t="s">
        <v>19</v>
      </c>
      <c r="J10" s="37">
        <v>4.8E7</v>
      </c>
      <c r="K10" s="25" t="s">
        <v>419</v>
      </c>
      <c r="L10" s="25" t="s">
        <v>188</v>
      </c>
      <c r="M10" s="25" t="s">
        <v>354</v>
      </c>
    </row>
    <row r="11">
      <c r="A11" s="27" t="s">
        <v>2479</v>
      </c>
      <c r="B11" s="27" t="s">
        <v>2480</v>
      </c>
      <c r="C11" s="27" t="s">
        <v>2481</v>
      </c>
      <c r="D11" s="27" t="s">
        <v>2482</v>
      </c>
      <c r="E11" s="27" t="s">
        <v>2441</v>
      </c>
      <c r="F11" s="27" t="s">
        <v>65</v>
      </c>
      <c r="G11" s="33">
        <v>45383.0</v>
      </c>
      <c r="H11" s="33">
        <v>45747.0</v>
      </c>
      <c r="I11" s="27" t="s">
        <v>19</v>
      </c>
      <c r="J11" s="38">
        <v>3.1E7</v>
      </c>
      <c r="K11" s="27" t="s">
        <v>419</v>
      </c>
      <c r="L11" s="27" t="s">
        <v>183</v>
      </c>
      <c r="M11" s="27" t="s">
        <v>2452</v>
      </c>
    </row>
    <row r="12">
      <c r="A12" s="25" t="s">
        <v>2483</v>
      </c>
      <c r="B12" s="25" t="s">
        <v>2484</v>
      </c>
      <c r="C12" s="25" t="s">
        <v>2485</v>
      </c>
      <c r="D12" s="25" t="s">
        <v>2486</v>
      </c>
      <c r="E12" s="25" t="s">
        <v>2447</v>
      </c>
      <c r="F12" s="25" t="s">
        <v>66</v>
      </c>
      <c r="G12" s="30">
        <v>45139.0</v>
      </c>
      <c r="H12" s="30">
        <v>45473.0</v>
      </c>
      <c r="I12" s="25" t="s">
        <v>55</v>
      </c>
      <c r="J12" s="37">
        <v>2.9E7</v>
      </c>
      <c r="K12" s="25" t="s">
        <v>419</v>
      </c>
      <c r="L12" s="25" t="s">
        <v>177</v>
      </c>
      <c r="M12" s="25" t="s">
        <v>2487</v>
      </c>
    </row>
    <row r="13">
      <c r="A13" s="27" t="s">
        <v>2488</v>
      </c>
      <c r="B13" s="27" t="s">
        <v>2489</v>
      </c>
      <c r="C13" s="27" t="s">
        <v>2490</v>
      </c>
      <c r="D13" s="27" t="s">
        <v>2491</v>
      </c>
      <c r="E13" s="27" t="s">
        <v>2441</v>
      </c>
      <c r="F13" s="27" t="s">
        <v>65</v>
      </c>
      <c r="G13" s="33">
        <v>45292.0</v>
      </c>
      <c r="H13" s="33">
        <v>45838.0</v>
      </c>
      <c r="I13" s="27" t="s">
        <v>19</v>
      </c>
      <c r="J13" s="38">
        <v>7.2E7</v>
      </c>
      <c r="K13" s="27" t="s">
        <v>419</v>
      </c>
      <c r="L13" s="27" t="s">
        <v>192</v>
      </c>
      <c r="M13" s="27" t="s">
        <v>2442</v>
      </c>
    </row>
    <row r="14">
      <c r="A14" s="25" t="s">
        <v>2492</v>
      </c>
      <c r="B14" s="25" t="s">
        <v>2493</v>
      </c>
      <c r="C14" s="25" t="s">
        <v>2494</v>
      </c>
      <c r="D14" s="25" t="s">
        <v>2495</v>
      </c>
      <c r="E14" s="25" t="s">
        <v>2441</v>
      </c>
      <c r="F14" s="25" t="s">
        <v>65</v>
      </c>
      <c r="G14" s="30">
        <v>45413.0</v>
      </c>
      <c r="H14" s="30">
        <v>45777.0</v>
      </c>
      <c r="I14" s="25" t="s">
        <v>19</v>
      </c>
      <c r="J14" s="37">
        <v>4.3E7</v>
      </c>
      <c r="K14" s="25" t="s">
        <v>419</v>
      </c>
      <c r="L14" s="25" t="s">
        <v>196</v>
      </c>
      <c r="M14" s="25" t="s">
        <v>363</v>
      </c>
    </row>
    <row r="15">
      <c r="A15" s="27" t="s">
        <v>2496</v>
      </c>
      <c r="B15" s="27" t="s">
        <v>2497</v>
      </c>
      <c r="C15" s="27" t="s">
        <v>2498</v>
      </c>
      <c r="D15" s="27" t="s">
        <v>2499</v>
      </c>
      <c r="E15" s="27" t="s">
        <v>2447</v>
      </c>
      <c r="F15" s="27" t="s">
        <v>66</v>
      </c>
      <c r="G15" s="33">
        <v>44958.0</v>
      </c>
      <c r="H15" s="33">
        <v>45322.0</v>
      </c>
      <c r="I15" s="27" t="s">
        <v>35</v>
      </c>
      <c r="J15" s="38">
        <v>9.5E7</v>
      </c>
      <c r="K15" s="27" t="s">
        <v>419</v>
      </c>
      <c r="L15" s="27" t="s">
        <v>177</v>
      </c>
      <c r="M15" s="27" t="s">
        <v>2500</v>
      </c>
    </row>
    <row r="16">
      <c r="A16" s="25" t="s">
        <v>2501</v>
      </c>
      <c r="B16" s="25" t="s">
        <v>2502</v>
      </c>
      <c r="C16" s="25" t="s">
        <v>2503</v>
      </c>
      <c r="D16" s="25" t="s">
        <v>2504</v>
      </c>
      <c r="E16" s="25" t="s">
        <v>2441</v>
      </c>
      <c r="F16" s="25" t="s">
        <v>65</v>
      </c>
      <c r="G16" s="30">
        <v>45337.0</v>
      </c>
      <c r="H16" s="30">
        <v>45900.0</v>
      </c>
      <c r="I16" s="25" t="s">
        <v>19</v>
      </c>
      <c r="J16" s="37">
        <v>5.8E7</v>
      </c>
      <c r="K16" s="25" t="s">
        <v>419</v>
      </c>
      <c r="L16" s="25" t="s">
        <v>196</v>
      </c>
      <c r="M16" s="25" t="s">
        <v>360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6F1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0.0"/>
    <col customWidth="1" min="3" max="3" width="12.0"/>
    <col customWidth="1" min="4" max="4" width="24.0"/>
    <col customWidth="1" min="5" max="7" width="13.0"/>
    <col customWidth="1" min="8" max="9" width="16.0"/>
    <col customWidth="1" min="10" max="10" width="11.0"/>
    <col customWidth="1" min="11" max="11" width="16.0"/>
    <col customWidth="1" min="12" max="26" width="8.71"/>
  </cols>
  <sheetData>
    <row r="1" ht="30.0" customHeight="1">
      <c r="A1" s="23" t="s">
        <v>2505</v>
      </c>
      <c r="B1" s="23" t="s">
        <v>2427</v>
      </c>
      <c r="C1" s="23" t="s">
        <v>378</v>
      </c>
      <c r="D1" s="23" t="s">
        <v>2506</v>
      </c>
      <c r="E1" s="23" t="s">
        <v>2432</v>
      </c>
      <c r="F1" s="23" t="s">
        <v>2507</v>
      </c>
      <c r="G1" s="23" t="s">
        <v>2508</v>
      </c>
      <c r="H1" s="23" t="s">
        <v>2509</v>
      </c>
      <c r="I1" s="23" t="s">
        <v>2510</v>
      </c>
      <c r="J1" s="23" t="s">
        <v>2511</v>
      </c>
      <c r="K1" s="23" t="s">
        <v>2512</v>
      </c>
    </row>
    <row r="2">
      <c r="A2" s="25" t="s">
        <v>2513</v>
      </c>
      <c r="B2" s="25" t="s">
        <v>2437</v>
      </c>
      <c r="C2" s="25" t="s">
        <v>497</v>
      </c>
      <c r="D2" s="25" t="s">
        <v>2514</v>
      </c>
      <c r="E2" s="30">
        <v>44961.0</v>
      </c>
      <c r="F2" s="30">
        <v>45358.0</v>
      </c>
      <c r="G2" s="39">
        <v>100.0</v>
      </c>
      <c r="H2" s="37">
        <v>5854.0</v>
      </c>
      <c r="I2" s="37">
        <v>2269.0</v>
      </c>
      <c r="J2" s="25" t="s">
        <v>181</v>
      </c>
      <c r="K2" s="25" t="s">
        <v>2515</v>
      </c>
    </row>
    <row r="3">
      <c r="A3" s="27" t="s">
        <v>2516</v>
      </c>
      <c r="B3" s="27" t="s">
        <v>2437</v>
      </c>
      <c r="C3" s="27" t="s">
        <v>552</v>
      </c>
      <c r="D3" s="27" t="s">
        <v>2517</v>
      </c>
      <c r="E3" s="33">
        <v>44952.0</v>
      </c>
      <c r="F3" s="33">
        <v>45366.0</v>
      </c>
      <c r="G3" s="40">
        <v>50.0</v>
      </c>
      <c r="H3" s="38">
        <v>2926.0</v>
      </c>
      <c r="I3" s="38">
        <v>1183.0</v>
      </c>
      <c r="J3" s="27" t="s">
        <v>181</v>
      </c>
      <c r="K3" s="27" t="s">
        <v>2515</v>
      </c>
    </row>
    <row r="4">
      <c r="A4" s="25" t="s">
        <v>2518</v>
      </c>
      <c r="B4" s="25" t="s">
        <v>2437</v>
      </c>
      <c r="C4" s="25" t="s">
        <v>597</v>
      </c>
      <c r="D4" s="25" t="s">
        <v>2519</v>
      </c>
      <c r="E4" s="30">
        <v>44953.0</v>
      </c>
      <c r="F4" s="30">
        <v>45362.0</v>
      </c>
      <c r="G4" s="39">
        <v>100.0</v>
      </c>
      <c r="H4" s="37">
        <v>2389.0</v>
      </c>
      <c r="I4" s="37">
        <v>2337.0</v>
      </c>
      <c r="J4" s="25" t="s">
        <v>181</v>
      </c>
      <c r="K4" s="25" t="s">
        <v>2520</v>
      </c>
    </row>
    <row r="5">
      <c r="A5" s="27" t="s">
        <v>2521</v>
      </c>
      <c r="B5" s="27" t="s">
        <v>2437</v>
      </c>
      <c r="C5" s="27" t="s">
        <v>675</v>
      </c>
      <c r="D5" s="27" t="s">
        <v>2522</v>
      </c>
      <c r="E5" s="33">
        <v>44947.0</v>
      </c>
      <c r="F5" s="33">
        <v>45368.0</v>
      </c>
      <c r="G5" s="40">
        <v>50.0</v>
      </c>
      <c r="H5" s="38">
        <v>2135.0</v>
      </c>
      <c r="I5" s="38">
        <v>1203.0</v>
      </c>
      <c r="J5" s="27" t="s">
        <v>181</v>
      </c>
      <c r="K5" s="27" t="s">
        <v>2515</v>
      </c>
    </row>
    <row r="6">
      <c r="A6" s="25" t="s">
        <v>2523</v>
      </c>
      <c r="B6" s="25" t="s">
        <v>2437</v>
      </c>
      <c r="C6" s="25" t="s">
        <v>779</v>
      </c>
      <c r="D6" s="25" t="s">
        <v>2524</v>
      </c>
      <c r="E6" s="30">
        <v>44959.0</v>
      </c>
      <c r="F6" s="30">
        <v>45377.0</v>
      </c>
      <c r="G6" s="39">
        <v>100.0</v>
      </c>
      <c r="H6" s="37">
        <v>5076.0</v>
      </c>
      <c r="I6" s="37">
        <v>2389.0</v>
      </c>
      <c r="J6" s="25" t="s">
        <v>181</v>
      </c>
      <c r="K6" s="25" t="s">
        <v>2520</v>
      </c>
    </row>
    <row r="7">
      <c r="A7" s="27" t="s">
        <v>2525</v>
      </c>
      <c r="B7" s="27" t="s">
        <v>2437</v>
      </c>
      <c r="C7" s="27" t="s">
        <v>721</v>
      </c>
      <c r="D7" s="27" t="s">
        <v>2526</v>
      </c>
      <c r="E7" s="33">
        <v>44950.0</v>
      </c>
      <c r="F7" s="33">
        <v>45368.0</v>
      </c>
      <c r="G7" s="40">
        <v>50.0</v>
      </c>
      <c r="H7" s="38">
        <v>4432.0</v>
      </c>
      <c r="I7" s="38">
        <v>1194.0</v>
      </c>
      <c r="J7" s="27" t="s">
        <v>181</v>
      </c>
      <c r="K7" s="27" t="s">
        <v>2515</v>
      </c>
    </row>
    <row r="8">
      <c r="A8" s="25" t="s">
        <v>2527</v>
      </c>
      <c r="B8" s="25" t="s">
        <v>2437</v>
      </c>
      <c r="C8" s="25" t="s">
        <v>830</v>
      </c>
      <c r="D8" s="25" t="s">
        <v>2528</v>
      </c>
      <c r="E8" s="30">
        <v>44951.0</v>
      </c>
      <c r="F8" s="30">
        <v>45369.0</v>
      </c>
      <c r="G8" s="39">
        <v>100.0</v>
      </c>
      <c r="H8" s="37">
        <v>2952.0</v>
      </c>
      <c r="I8" s="37">
        <v>2389.0</v>
      </c>
      <c r="J8" s="25" t="s">
        <v>181</v>
      </c>
      <c r="K8" s="25" t="s">
        <v>2515</v>
      </c>
    </row>
    <row r="9">
      <c r="A9" s="27" t="s">
        <v>2529</v>
      </c>
      <c r="B9" s="27" t="s">
        <v>2437</v>
      </c>
      <c r="C9" s="27" t="s">
        <v>909</v>
      </c>
      <c r="D9" s="27" t="s">
        <v>2530</v>
      </c>
      <c r="E9" s="33">
        <v>44953.0</v>
      </c>
      <c r="F9" s="33">
        <v>45382.0</v>
      </c>
      <c r="G9" s="40">
        <v>100.0</v>
      </c>
      <c r="H9" s="38">
        <v>2131.0</v>
      </c>
      <c r="I9" s="38">
        <v>2451.0</v>
      </c>
      <c r="J9" s="27" t="s">
        <v>181</v>
      </c>
      <c r="K9" s="27" t="s">
        <v>2531</v>
      </c>
    </row>
    <row r="10">
      <c r="A10" s="25" t="s">
        <v>2532</v>
      </c>
      <c r="B10" s="25" t="s">
        <v>2437</v>
      </c>
      <c r="C10" s="25" t="s">
        <v>1056</v>
      </c>
      <c r="D10" s="25" t="s">
        <v>2533</v>
      </c>
      <c r="E10" s="30">
        <v>44943.0</v>
      </c>
      <c r="F10" s="30">
        <v>45373.0</v>
      </c>
      <c r="G10" s="39">
        <v>25.0</v>
      </c>
      <c r="H10" s="37">
        <v>2308.0</v>
      </c>
      <c r="I10" s="37">
        <v>614.0</v>
      </c>
      <c r="J10" s="25" t="s">
        <v>181</v>
      </c>
      <c r="K10" s="25" t="s">
        <v>2515</v>
      </c>
    </row>
    <row r="11">
      <c r="A11" s="27" t="s">
        <v>2534</v>
      </c>
      <c r="B11" s="27" t="s">
        <v>2437</v>
      </c>
      <c r="C11" s="27" t="s">
        <v>1037</v>
      </c>
      <c r="D11" s="27" t="s">
        <v>2533</v>
      </c>
      <c r="E11" s="33">
        <v>44970.0</v>
      </c>
      <c r="F11" s="33">
        <v>45375.0</v>
      </c>
      <c r="G11" s="40">
        <v>25.0</v>
      </c>
      <c r="H11" s="38">
        <v>4101.0</v>
      </c>
      <c r="I11" s="38">
        <v>579.0</v>
      </c>
      <c r="J11" s="27" t="s">
        <v>187</v>
      </c>
      <c r="K11" s="27" t="s">
        <v>2531</v>
      </c>
    </row>
    <row r="12">
      <c r="A12" s="25" t="s">
        <v>2535</v>
      </c>
      <c r="B12" s="25" t="s">
        <v>2437</v>
      </c>
      <c r="C12" s="25" t="s">
        <v>976</v>
      </c>
      <c r="D12" s="25" t="s">
        <v>2536</v>
      </c>
      <c r="E12" s="30">
        <v>44962.0</v>
      </c>
      <c r="F12" s="30">
        <v>45372.0</v>
      </c>
      <c r="G12" s="39">
        <v>50.0</v>
      </c>
      <c r="H12" s="37">
        <v>2202.0</v>
      </c>
      <c r="I12" s="37">
        <v>1171.0</v>
      </c>
      <c r="J12" s="25" t="s">
        <v>181</v>
      </c>
      <c r="K12" s="25" t="s">
        <v>2515</v>
      </c>
    </row>
    <row r="13">
      <c r="A13" s="27" t="s">
        <v>2537</v>
      </c>
      <c r="B13" s="27" t="s">
        <v>2437</v>
      </c>
      <c r="C13" s="27" t="s">
        <v>1250</v>
      </c>
      <c r="D13" s="27" t="s">
        <v>2538</v>
      </c>
      <c r="E13" s="33">
        <v>44960.0</v>
      </c>
      <c r="F13" s="33">
        <v>45378.0</v>
      </c>
      <c r="G13" s="40">
        <v>75.0</v>
      </c>
      <c r="H13" s="38">
        <v>1601.0</v>
      </c>
      <c r="I13" s="38">
        <v>1791.0</v>
      </c>
      <c r="J13" s="27" t="s">
        <v>181</v>
      </c>
      <c r="K13" s="27" t="s">
        <v>2520</v>
      </c>
    </row>
    <row r="14">
      <c r="A14" s="25" t="s">
        <v>2539</v>
      </c>
      <c r="B14" s="25" t="s">
        <v>2437</v>
      </c>
      <c r="C14" s="25" t="s">
        <v>1116</v>
      </c>
      <c r="D14" s="25" t="s">
        <v>2538</v>
      </c>
      <c r="E14" s="30">
        <v>44950.0</v>
      </c>
      <c r="F14" s="30">
        <v>45373.0</v>
      </c>
      <c r="G14" s="39">
        <v>75.0</v>
      </c>
      <c r="H14" s="37">
        <v>836.0</v>
      </c>
      <c r="I14" s="37">
        <v>1813.0</v>
      </c>
      <c r="J14" s="25" t="s">
        <v>181</v>
      </c>
      <c r="K14" s="25" t="s">
        <v>2515</v>
      </c>
    </row>
    <row r="15">
      <c r="A15" s="27" t="s">
        <v>2540</v>
      </c>
      <c r="B15" s="27" t="s">
        <v>2437</v>
      </c>
      <c r="C15" s="27" t="s">
        <v>1262</v>
      </c>
      <c r="D15" s="27" t="s">
        <v>2541</v>
      </c>
      <c r="E15" s="33">
        <v>44965.0</v>
      </c>
      <c r="F15" s="33">
        <v>45362.0</v>
      </c>
      <c r="G15" s="40">
        <v>100.0</v>
      </c>
      <c r="H15" s="38">
        <v>4252.0</v>
      </c>
      <c r="I15" s="38">
        <v>2269.0</v>
      </c>
      <c r="J15" s="27" t="s">
        <v>181</v>
      </c>
      <c r="K15" s="27" t="s">
        <v>2531</v>
      </c>
    </row>
    <row r="16">
      <c r="A16" s="25" t="s">
        <v>2542</v>
      </c>
      <c r="B16" s="25" t="s">
        <v>2437</v>
      </c>
      <c r="C16" s="25" t="s">
        <v>1200</v>
      </c>
      <c r="D16" s="25" t="s">
        <v>2543</v>
      </c>
      <c r="E16" s="30">
        <v>44964.0</v>
      </c>
      <c r="F16" s="30">
        <v>45359.0</v>
      </c>
      <c r="G16" s="39">
        <v>100.0</v>
      </c>
      <c r="H16" s="37">
        <v>1756.0</v>
      </c>
      <c r="I16" s="37">
        <v>2257.0</v>
      </c>
      <c r="J16" s="25" t="s">
        <v>181</v>
      </c>
      <c r="K16" s="25" t="s">
        <v>2531</v>
      </c>
    </row>
    <row r="17">
      <c r="A17" s="27" t="s">
        <v>2544</v>
      </c>
      <c r="B17" s="27" t="s">
        <v>2437</v>
      </c>
      <c r="C17" s="27" t="s">
        <v>1449</v>
      </c>
      <c r="D17" s="27" t="s">
        <v>2545</v>
      </c>
      <c r="E17" s="33">
        <v>44943.0</v>
      </c>
      <c r="F17" s="33">
        <v>45372.0</v>
      </c>
      <c r="G17" s="40">
        <v>100.0</v>
      </c>
      <c r="H17" s="38">
        <v>2231.0</v>
      </c>
      <c r="I17" s="38">
        <v>2451.0</v>
      </c>
      <c r="J17" s="27" t="s">
        <v>181</v>
      </c>
      <c r="K17" s="27" t="s">
        <v>2515</v>
      </c>
    </row>
    <row r="18">
      <c r="A18" s="25" t="s">
        <v>2546</v>
      </c>
      <c r="B18" s="25" t="s">
        <v>2437</v>
      </c>
      <c r="C18" s="25" t="s">
        <v>1425</v>
      </c>
      <c r="D18" s="25" t="s">
        <v>2545</v>
      </c>
      <c r="E18" s="30">
        <v>44968.0</v>
      </c>
      <c r="F18" s="30">
        <v>45365.0</v>
      </c>
      <c r="G18" s="39">
        <v>50.0</v>
      </c>
      <c r="H18" s="37">
        <v>2642.0</v>
      </c>
      <c r="I18" s="37">
        <v>1134.0</v>
      </c>
      <c r="J18" s="25" t="s">
        <v>181</v>
      </c>
      <c r="K18" s="25" t="s">
        <v>2531</v>
      </c>
    </row>
    <row r="19">
      <c r="A19" s="27" t="s">
        <v>2547</v>
      </c>
      <c r="B19" s="27" t="s">
        <v>2437</v>
      </c>
      <c r="C19" s="27" t="s">
        <v>1413</v>
      </c>
      <c r="D19" s="27" t="s">
        <v>2548</v>
      </c>
      <c r="E19" s="33">
        <v>44941.0</v>
      </c>
      <c r="F19" s="33">
        <v>45367.0</v>
      </c>
      <c r="G19" s="40">
        <v>75.0</v>
      </c>
      <c r="H19" s="38">
        <v>4762.0</v>
      </c>
      <c r="I19" s="38">
        <v>1826.0</v>
      </c>
      <c r="J19" s="27" t="s">
        <v>181</v>
      </c>
      <c r="K19" s="27" t="s">
        <v>2515</v>
      </c>
    </row>
    <row r="20">
      <c r="A20" s="25" t="s">
        <v>2549</v>
      </c>
      <c r="B20" s="25" t="s">
        <v>2437</v>
      </c>
      <c r="C20" s="25" t="s">
        <v>1306</v>
      </c>
      <c r="D20" s="25" t="s">
        <v>2545</v>
      </c>
      <c r="E20" s="30">
        <v>44962.0</v>
      </c>
      <c r="F20" s="30">
        <v>45358.0</v>
      </c>
      <c r="G20" s="39">
        <v>50.0</v>
      </c>
      <c r="H20" s="37">
        <v>2560.0</v>
      </c>
      <c r="I20" s="37">
        <v>1131.0</v>
      </c>
      <c r="J20" s="25" t="s">
        <v>181</v>
      </c>
      <c r="K20" s="25" t="s">
        <v>2515</v>
      </c>
    </row>
    <row r="21" ht="15.75" customHeight="1">
      <c r="A21" s="27" t="s">
        <v>2550</v>
      </c>
      <c r="B21" s="27" t="s">
        <v>2443</v>
      </c>
      <c r="C21" s="27" t="s">
        <v>515</v>
      </c>
      <c r="D21" s="27" t="s">
        <v>2551</v>
      </c>
      <c r="E21" s="33">
        <v>45019.0</v>
      </c>
      <c r="F21" s="33">
        <v>45305.0</v>
      </c>
      <c r="G21" s="40">
        <v>50.0</v>
      </c>
      <c r="H21" s="38">
        <v>7081.0</v>
      </c>
      <c r="I21" s="38">
        <v>817.0</v>
      </c>
      <c r="J21" s="27" t="s">
        <v>181</v>
      </c>
      <c r="K21" s="27" t="s">
        <v>2515</v>
      </c>
    </row>
    <row r="22" ht="15.75" customHeight="1">
      <c r="A22" s="25" t="s">
        <v>2552</v>
      </c>
      <c r="B22" s="25" t="s">
        <v>2443</v>
      </c>
      <c r="C22" s="25" t="s">
        <v>562</v>
      </c>
      <c r="D22" s="25" t="s">
        <v>2517</v>
      </c>
      <c r="E22" s="30">
        <v>45026.0</v>
      </c>
      <c r="F22" s="30">
        <v>45320.0</v>
      </c>
      <c r="G22" s="39">
        <v>100.0</v>
      </c>
      <c r="H22" s="37">
        <v>4738.0</v>
      </c>
      <c r="I22" s="37">
        <v>1680.0</v>
      </c>
      <c r="J22" s="25" t="s">
        <v>181</v>
      </c>
      <c r="K22" s="25" t="s">
        <v>2531</v>
      </c>
    </row>
    <row r="23" ht="15.75" customHeight="1">
      <c r="A23" s="27" t="s">
        <v>2553</v>
      </c>
      <c r="B23" s="27" t="s">
        <v>2443</v>
      </c>
      <c r="C23" s="27" t="s">
        <v>635</v>
      </c>
      <c r="D23" s="27" t="s">
        <v>2522</v>
      </c>
      <c r="E23" s="33">
        <v>45036.0</v>
      </c>
      <c r="F23" s="33">
        <v>45307.0</v>
      </c>
      <c r="G23" s="40">
        <v>25.0</v>
      </c>
      <c r="H23" s="38">
        <v>5296.0</v>
      </c>
      <c r="I23" s="38">
        <v>387.0</v>
      </c>
      <c r="J23" s="27" t="s">
        <v>181</v>
      </c>
      <c r="K23" s="27" t="s">
        <v>2531</v>
      </c>
    </row>
    <row r="24" ht="15.75" customHeight="1">
      <c r="A24" s="25" t="s">
        <v>2554</v>
      </c>
      <c r="B24" s="25" t="s">
        <v>2443</v>
      </c>
      <c r="C24" s="25" t="s">
        <v>665</v>
      </c>
      <c r="D24" s="25" t="s">
        <v>2519</v>
      </c>
      <c r="E24" s="30">
        <v>45026.0</v>
      </c>
      <c r="F24" s="30">
        <v>45301.0</v>
      </c>
      <c r="G24" s="39">
        <v>75.0</v>
      </c>
      <c r="H24" s="37">
        <v>2064.0</v>
      </c>
      <c r="I24" s="37">
        <v>1179.0</v>
      </c>
      <c r="J24" s="25" t="s">
        <v>181</v>
      </c>
      <c r="K24" s="25" t="s">
        <v>2515</v>
      </c>
    </row>
    <row r="25" ht="15.75" customHeight="1">
      <c r="A25" s="27" t="s">
        <v>2555</v>
      </c>
      <c r="B25" s="27" t="s">
        <v>2443</v>
      </c>
      <c r="C25" s="27" t="s">
        <v>689</v>
      </c>
      <c r="D25" s="27" t="s">
        <v>2524</v>
      </c>
      <c r="E25" s="33">
        <v>45044.0</v>
      </c>
      <c r="F25" s="33">
        <v>45293.0</v>
      </c>
      <c r="G25" s="40">
        <v>25.0</v>
      </c>
      <c r="H25" s="38">
        <v>1704.0</v>
      </c>
      <c r="I25" s="38">
        <v>356.0</v>
      </c>
      <c r="J25" s="27" t="s">
        <v>181</v>
      </c>
      <c r="K25" s="27" t="s">
        <v>2515</v>
      </c>
    </row>
    <row r="26" ht="15.75" customHeight="1">
      <c r="A26" s="25" t="s">
        <v>2556</v>
      </c>
      <c r="B26" s="25" t="s">
        <v>2443</v>
      </c>
      <c r="C26" s="25" t="s">
        <v>757</v>
      </c>
      <c r="D26" s="25" t="s">
        <v>2526</v>
      </c>
      <c r="E26" s="30">
        <v>45032.0</v>
      </c>
      <c r="F26" s="30">
        <v>45299.0</v>
      </c>
      <c r="G26" s="39">
        <v>50.0</v>
      </c>
      <c r="H26" s="37">
        <v>3419.0</v>
      </c>
      <c r="I26" s="37">
        <v>763.0</v>
      </c>
      <c r="J26" s="25" t="s">
        <v>181</v>
      </c>
      <c r="K26" s="25" t="s">
        <v>2531</v>
      </c>
    </row>
    <row r="27" ht="15.75" customHeight="1">
      <c r="A27" s="27" t="s">
        <v>2557</v>
      </c>
      <c r="B27" s="27" t="s">
        <v>2443</v>
      </c>
      <c r="C27" s="27" t="s">
        <v>808</v>
      </c>
      <c r="D27" s="27" t="s">
        <v>2528</v>
      </c>
      <c r="E27" s="33">
        <v>45026.0</v>
      </c>
      <c r="F27" s="33">
        <v>45309.0</v>
      </c>
      <c r="G27" s="40">
        <v>50.0</v>
      </c>
      <c r="H27" s="38">
        <v>4456.0</v>
      </c>
      <c r="I27" s="38">
        <v>809.0</v>
      </c>
      <c r="J27" s="27" t="s">
        <v>181</v>
      </c>
      <c r="K27" s="27" t="s">
        <v>2515</v>
      </c>
    </row>
    <row r="28" ht="15.75" customHeight="1">
      <c r="A28" s="25" t="s">
        <v>2558</v>
      </c>
      <c r="B28" s="25" t="s">
        <v>2443</v>
      </c>
      <c r="C28" s="25" t="s">
        <v>830</v>
      </c>
      <c r="D28" s="25" t="s">
        <v>2528</v>
      </c>
      <c r="E28" s="30">
        <v>45033.0</v>
      </c>
      <c r="F28" s="30">
        <v>45300.0</v>
      </c>
      <c r="G28" s="39">
        <v>75.0</v>
      </c>
      <c r="H28" s="37">
        <v>3267.0</v>
      </c>
      <c r="I28" s="37">
        <v>1144.0</v>
      </c>
      <c r="J28" s="25" t="s">
        <v>181</v>
      </c>
      <c r="K28" s="25" t="s">
        <v>2515</v>
      </c>
    </row>
    <row r="29" ht="15.75" customHeight="1">
      <c r="A29" s="27" t="s">
        <v>2559</v>
      </c>
      <c r="B29" s="27" t="s">
        <v>2443</v>
      </c>
      <c r="C29" s="27" t="s">
        <v>963</v>
      </c>
      <c r="D29" s="27" t="s">
        <v>2536</v>
      </c>
      <c r="E29" s="33">
        <v>45043.0</v>
      </c>
      <c r="F29" s="33">
        <v>45310.0</v>
      </c>
      <c r="G29" s="40">
        <v>50.0</v>
      </c>
      <c r="H29" s="38">
        <v>2672.0</v>
      </c>
      <c r="I29" s="38">
        <v>763.0</v>
      </c>
      <c r="J29" s="27" t="s">
        <v>181</v>
      </c>
      <c r="K29" s="27" t="s">
        <v>2515</v>
      </c>
    </row>
    <row r="30" ht="15.75" customHeight="1">
      <c r="A30" s="25" t="s">
        <v>2560</v>
      </c>
      <c r="B30" s="25" t="s">
        <v>2443</v>
      </c>
      <c r="C30" s="25" t="s">
        <v>1004</v>
      </c>
      <c r="D30" s="25" t="s">
        <v>2561</v>
      </c>
      <c r="E30" s="30">
        <v>45035.0</v>
      </c>
      <c r="F30" s="30">
        <v>45321.0</v>
      </c>
      <c r="G30" s="39">
        <v>100.0</v>
      </c>
      <c r="H30" s="37">
        <v>2733.0</v>
      </c>
      <c r="I30" s="37">
        <v>1634.0</v>
      </c>
      <c r="J30" s="25" t="s">
        <v>181</v>
      </c>
      <c r="K30" s="25" t="s">
        <v>2515</v>
      </c>
    </row>
    <row r="31" ht="15.75" customHeight="1">
      <c r="A31" s="27" t="s">
        <v>2562</v>
      </c>
      <c r="B31" s="27" t="s">
        <v>2443</v>
      </c>
      <c r="C31" s="27" t="s">
        <v>1056</v>
      </c>
      <c r="D31" s="27" t="s">
        <v>2561</v>
      </c>
      <c r="E31" s="33">
        <v>45039.0</v>
      </c>
      <c r="F31" s="33">
        <v>45297.0</v>
      </c>
      <c r="G31" s="40">
        <v>75.0</v>
      </c>
      <c r="H31" s="38">
        <v>3741.0</v>
      </c>
      <c r="I31" s="38">
        <v>1106.0</v>
      </c>
      <c r="J31" s="27" t="s">
        <v>181</v>
      </c>
      <c r="K31" s="27" t="s">
        <v>2515</v>
      </c>
    </row>
    <row r="32" ht="15.75" customHeight="1">
      <c r="A32" s="25" t="s">
        <v>2563</v>
      </c>
      <c r="B32" s="25" t="s">
        <v>2443</v>
      </c>
      <c r="C32" s="25" t="s">
        <v>1231</v>
      </c>
      <c r="D32" s="25" t="s">
        <v>2543</v>
      </c>
      <c r="E32" s="30">
        <v>45045.0</v>
      </c>
      <c r="F32" s="30">
        <v>45303.0</v>
      </c>
      <c r="G32" s="39">
        <v>100.0</v>
      </c>
      <c r="H32" s="37">
        <v>1846.0</v>
      </c>
      <c r="I32" s="37">
        <v>1474.0</v>
      </c>
      <c r="J32" s="25" t="s">
        <v>181</v>
      </c>
      <c r="K32" s="25" t="s">
        <v>2515</v>
      </c>
    </row>
    <row r="33" ht="15.75" customHeight="1">
      <c r="A33" s="27" t="s">
        <v>2564</v>
      </c>
      <c r="B33" s="27" t="s">
        <v>2443</v>
      </c>
      <c r="C33" s="27" t="s">
        <v>1262</v>
      </c>
      <c r="D33" s="27" t="s">
        <v>2538</v>
      </c>
      <c r="E33" s="33">
        <v>45020.0</v>
      </c>
      <c r="F33" s="33">
        <v>45310.0</v>
      </c>
      <c r="G33" s="40">
        <v>50.0</v>
      </c>
      <c r="H33" s="38">
        <v>3734.0</v>
      </c>
      <c r="I33" s="38">
        <v>829.0</v>
      </c>
      <c r="J33" s="27" t="s">
        <v>187</v>
      </c>
      <c r="K33" s="27" t="s">
        <v>2515</v>
      </c>
    </row>
    <row r="34" ht="15.75" customHeight="1">
      <c r="A34" s="25" t="s">
        <v>2565</v>
      </c>
      <c r="B34" s="25" t="s">
        <v>2443</v>
      </c>
      <c r="C34" s="25" t="s">
        <v>1225</v>
      </c>
      <c r="D34" s="25" t="s">
        <v>2543</v>
      </c>
      <c r="E34" s="30">
        <v>45034.0</v>
      </c>
      <c r="F34" s="30">
        <v>45313.0</v>
      </c>
      <c r="G34" s="39">
        <v>75.0</v>
      </c>
      <c r="H34" s="37">
        <v>4507.0</v>
      </c>
      <c r="I34" s="37">
        <v>1196.0</v>
      </c>
      <c r="J34" s="25" t="s">
        <v>187</v>
      </c>
      <c r="K34" s="25" t="s">
        <v>2515</v>
      </c>
    </row>
    <row r="35" ht="15.75" customHeight="1">
      <c r="A35" s="27" t="s">
        <v>2566</v>
      </c>
      <c r="B35" s="27" t="s">
        <v>2443</v>
      </c>
      <c r="C35" s="27" t="s">
        <v>1287</v>
      </c>
      <c r="D35" s="27" t="s">
        <v>2538</v>
      </c>
      <c r="E35" s="33">
        <v>45030.0</v>
      </c>
      <c r="F35" s="33">
        <v>45298.0</v>
      </c>
      <c r="G35" s="40">
        <v>50.0</v>
      </c>
      <c r="H35" s="38">
        <v>4617.0</v>
      </c>
      <c r="I35" s="38">
        <v>766.0</v>
      </c>
      <c r="J35" s="27" t="s">
        <v>181</v>
      </c>
      <c r="K35" s="27" t="s">
        <v>2515</v>
      </c>
    </row>
    <row r="36" ht="15.75" customHeight="1">
      <c r="A36" s="25" t="s">
        <v>2567</v>
      </c>
      <c r="B36" s="25" t="s">
        <v>2443</v>
      </c>
      <c r="C36" s="25" t="s">
        <v>1413</v>
      </c>
      <c r="D36" s="25" t="s">
        <v>2548</v>
      </c>
      <c r="E36" s="30">
        <v>45041.0</v>
      </c>
      <c r="F36" s="30">
        <v>45312.0</v>
      </c>
      <c r="G36" s="39">
        <v>25.0</v>
      </c>
      <c r="H36" s="37">
        <v>2918.0</v>
      </c>
      <c r="I36" s="37">
        <v>387.0</v>
      </c>
      <c r="J36" s="25" t="s">
        <v>181</v>
      </c>
      <c r="K36" s="25" t="s">
        <v>2515</v>
      </c>
    </row>
    <row r="37" ht="15.75" customHeight="1">
      <c r="A37" s="27" t="s">
        <v>2568</v>
      </c>
      <c r="B37" s="27" t="s">
        <v>2443</v>
      </c>
      <c r="C37" s="27" t="s">
        <v>1406</v>
      </c>
      <c r="D37" s="27" t="s">
        <v>2548</v>
      </c>
      <c r="E37" s="33">
        <v>45019.0</v>
      </c>
      <c r="F37" s="33">
        <v>45302.0</v>
      </c>
      <c r="G37" s="40">
        <v>25.0</v>
      </c>
      <c r="H37" s="38">
        <v>2741.0</v>
      </c>
      <c r="I37" s="38">
        <v>404.0</v>
      </c>
      <c r="J37" s="27" t="s">
        <v>181</v>
      </c>
      <c r="K37" s="27" t="s">
        <v>2515</v>
      </c>
    </row>
    <row r="38" ht="15.75" customHeight="1">
      <c r="A38" s="25" t="s">
        <v>2569</v>
      </c>
      <c r="B38" s="25" t="s">
        <v>2443</v>
      </c>
      <c r="C38" s="25" t="s">
        <v>1461</v>
      </c>
      <c r="D38" s="25" t="s">
        <v>2545</v>
      </c>
      <c r="E38" s="30">
        <v>45044.0</v>
      </c>
      <c r="F38" s="30">
        <v>45316.0</v>
      </c>
      <c r="G38" s="39">
        <v>75.0</v>
      </c>
      <c r="H38" s="37">
        <v>3933.0</v>
      </c>
      <c r="I38" s="37">
        <v>1166.0</v>
      </c>
      <c r="J38" s="25" t="s">
        <v>187</v>
      </c>
      <c r="K38" s="25" t="s">
        <v>2515</v>
      </c>
    </row>
    <row r="39" ht="15.75" customHeight="1">
      <c r="A39" s="27" t="s">
        <v>2570</v>
      </c>
      <c r="B39" s="27" t="s">
        <v>2443</v>
      </c>
      <c r="C39" s="27" t="s">
        <v>1367</v>
      </c>
      <c r="D39" s="27" t="s">
        <v>2548</v>
      </c>
      <c r="E39" s="33">
        <v>45040.0</v>
      </c>
      <c r="F39" s="33">
        <v>45308.0</v>
      </c>
      <c r="G39" s="40">
        <v>50.0</v>
      </c>
      <c r="H39" s="38">
        <v>2174.0</v>
      </c>
      <c r="I39" s="38">
        <v>766.0</v>
      </c>
      <c r="J39" s="27" t="s">
        <v>187</v>
      </c>
      <c r="K39" s="27" t="s">
        <v>2515</v>
      </c>
    </row>
    <row r="40" ht="15.75" customHeight="1">
      <c r="A40" s="25" t="s">
        <v>2571</v>
      </c>
      <c r="B40" s="25" t="s">
        <v>2448</v>
      </c>
      <c r="C40" s="25" t="s">
        <v>515</v>
      </c>
      <c r="D40" s="25" t="s">
        <v>2514</v>
      </c>
      <c r="E40" s="30">
        <v>45181.0</v>
      </c>
      <c r="F40" s="30">
        <v>45742.0</v>
      </c>
      <c r="G40" s="39">
        <v>75.0</v>
      </c>
      <c r="H40" s="37">
        <v>2138.0</v>
      </c>
      <c r="I40" s="37">
        <v>2404.0</v>
      </c>
      <c r="J40" s="25" t="s">
        <v>187</v>
      </c>
      <c r="K40" s="25" t="s">
        <v>2531</v>
      </c>
    </row>
    <row r="41" ht="15.75" customHeight="1">
      <c r="A41" s="27" t="s">
        <v>2572</v>
      </c>
      <c r="B41" s="27" t="s">
        <v>2448</v>
      </c>
      <c r="C41" s="27" t="s">
        <v>552</v>
      </c>
      <c r="D41" s="27" t="s">
        <v>2573</v>
      </c>
      <c r="E41" s="33">
        <v>45196.0</v>
      </c>
      <c r="F41" s="33">
        <v>45727.0</v>
      </c>
      <c r="G41" s="40">
        <v>100.0</v>
      </c>
      <c r="H41" s="38">
        <v>5068.0</v>
      </c>
      <c r="I41" s="38">
        <v>3034.0</v>
      </c>
      <c r="J41" s="27" t="s">
        <v>181</v>
      </c>
      <c r="K41" s="27" t="s">
        <v>2515</v>
      </c>
    </row>
    <row r="42" ht="15.75" customHeight="1">
      <c r="A42" s="25" t="s">
        <v>2574</v>
      </c>
      <c r="B42" s="25" t="s">
        <v>2448</v>
      </c>
      <c r="C42" s="25" t="s">
        <v>682</v>
      </c>
      <c r="D42" s="25" t="s">
        <v>2522</v>
      </c>
      <c r="E42" s="30">
        <v>45184.0</v>
      </c>
      <c r="F42" s="30">
        <v>45746.0</v>
      </c>
      <c r="G42" s="39">
        <v>100.0</v>
      </c>
      <c r="H42" s="37">
        <v>4587.0</v>
      </c>
      <c r="I42" s="37">
        <v>3211.0</v>
      </c>
      <c r="J42" s="25" t="s">
        <v>187</v>
      </c>
      <c r="K42" s="25" t="s">
        <v>2515</v>
      </c>
    </row>
    <row r="43" ht="15.75" customHeight="1">
      <c r="A43" s="27" t="s">
        <v>2575</v>
      </c>
      <c r="B43" s="27" t="s">
        <v>2448</v>
      </c>
      <c r="C43" s="27" t="s">
        <v>651</v>
      </c>
      <c r="D43" s="27" t="s">
        <v>2519</v>
      </c>
      <c r="E43" s="33">
        <v>45181.0</v>
      </c>
      <c r="F43" s="33">
        <v>45718.0</v>
      </c>
      <c r="G43" s="40">
        <v>50.0</v>
      </c>
      <c r="H43" s="38">
        <v>5829.0</v>
      </c>
      <c r="I43" s="38">
        <v>1534.0</v>
      </c>
      <c r="J43" s="27" t="s">
        <v>181</v>
      </c>
      <c r="K43" s="27" t="s">
        <v>2515</v>
      </c>
    </row>
    <row r="44" ht="15.75" customHeight="1">
      <c r="A44" s="25" t="s">
        <v>2576</v>
      </c>
      <c r="B44" s="25" t="s">
        <v>2448</v>
      </c>
      <c r="C44" s="25" t="s">
        <v>705</v>
      </c>
      <c r="D44" s="25" t="s">
        <v>2524</v>
      </c>
      <c r="E44" s="30">
        <v>45180.0</v>
      </c>
      <c r="F44" s="30">
        <v>45721.0</v>
      </c>
      <c r="G44" s="39">
        <v>25.0</v>
      </c>
      <c r="H44" s="37">
        <v>5550.0</v>
      </c>
      <c r="I44" s="37">
        <v>773.0</v>
      </c>
      <c r="J44" s="25" t="s">
        <v>181</v>
      </c>
      <c r="K44" s="25" t="s">
        <v>2531</v>
      </c>
    </row>
    <row r="45" ht="15.75" customHeight="1">
      <c r="A45" s="27" t="s">
        <v>2577</v>
      </c>
      <c r="B45" s="27" t="s">
        <v>2448</v>
      </c>
      <c r="C45" s="27" t="s">
        <v>744</v>
      </c>
      <c r="D45" s="27" t="s">
        <v>2526</v>
      </c>
      <c r="E45" s="33">
        <v>45196.0</v>
      </c>
      <c r="F45" s="33">
        <v>45726.0</v>
      </c>
      <c r="G45" s="40">
        <v>25.0</v>
      </c>
      <c r="H45" s="38">
        <v>4645.0</v>
      </c>
      <c r="I45" s="38">
        <v>757.0</v>
      </c>
      <c r="J45" s="27" t="s">
        <v>181</v>
      </c>
      <c r="K45" s="27" t="s">
        <v>2531</v>
      </c>
    </row>
    <row r="46" ht="15.75" customHeight="1">
      <c r="A46" s="25" t="s">
        <v>2578</v>
      </c>
      <c r="B46" s="25" t="s">
        <v>2448</v>
      </c>
      <c r="C46" s="25" t="s">
        <v>855</v>
      </c>
      <c r="D46" s="25" t="s">
        <v>2530</v>
      </c>
      <c r="E46" s="30">
        <v>45180.0</v>
      </c>
      <c r="F46" s="30">
        <v>45730.0</v>
      </c>
      <c r="G46" s="39">
        <v>25.0</v>
      </c>
      <c r="H46" s="37">
        <v>4226.0</v>
      </c>
      <c r="I46" s="37">
        <v>786.0</v>
      </c>
      <c r="J46" s="25" t="s">
        <v>181</v>
      </c>
      <c r="K46" s="25" t="s">
        <v>2515</v>
      </c>
    </row>
    <row r="47" ht="15.75" customHeight="1">
      <c r="A47" s="27" t="s">
        <v>2579</v>
      </c>
      <c r="B47" s="27" t="s">
        <v>2448</v>
      </c>
      <c r="C47" s="27" t="s">
        <v>837</v>
      </c>
      <c r="D47" s="27" t="s">
        <v>2530</v>
      </c>
      <c r="E47" s="33">
        <v>45176.0</v>
      </c>
      <c r="F47" s="33">
        <v>45744.0</v>
      </c>
      <c r="G47" s="40">
        <v>100.0</v>
      </c>
      <c r="H47" s="38">
        <v>1307.0</v>
      </c>
      <c r="I47" s="38">
        <v>3246.0</v>
      </c>
      <c r="J47" s="27" t="s">
        <v>181</v>
      </c>
      <c r="K47" s="27" t="s">
        <v>2515</v>
      </c>
    </row>
    <row r="48" ht="15.75" customHeight="1">
      <c r="A48" s="25" t="s">
        <v>2580</v>
      </c>
      <c r="B48" s="25" t="s">
        <v>2448</v>
      </c>
      <c r="C48" s="25" t="s">
        <v>969</v>
      </c>
      <c r="D48" s="25" t="s">
        <v>2561</v>
      </c>
      <c r="E48" s="30">
        <v>45176.0</v>
      </c>
      <c r="F48" s="30">
        <v>45733.0</v>
      </c>
      <c r="G48" s="39">
        <v>75.0</v>
      </c>
      <c r="H48" s="37">
        <v>850.0</v>
      </c>
      <c r="I48" s="37">
        <v>2387.0</v>
      </c>
      <c r="J48" s="25" t="s">
        <v>181</v>
      </c>
      <c r="K48" s="25" t="s">
        <v>2515</v>
      </c>
    </row>
    <row r="49" ht="15.75" customHeight="1">
      <c r="A49" s="27" t="s">
        <v>2581</v>
      </c>
      <c r="B49" s="27" t="s">
        <v>2448</v>
      </c>
      <c r="C49" s="27" t="s">
        <v>935</v>
      </c>
      <c r="D49" s="27" t="s">
        <v>2561</v>
      </c>
      <c r="E49" s="33">
        <v>45198.0</v>
      </c>
      <c r="F49" s="33">
        <v>45741.0</v>
      </c>
      <c r="G49" s="40">
        <v>75.0</v>
      </c>
      <c r="H49" s="38">
        <v>985.0</v>
      </c>
      <c r="I49" s="38">
        <v>2327.0</v>
      </c>
      <c r="J49" s="27" t="s">
        <v>181</v>
      </c>
      <c r="K49" s="27" t="s">
        <v>2515</v>
      </c>
    </row>
    <row r="50" ht="15.75" customHeight="1">
      <c r="A50" s="25" t="s">
        <v>2582</v>
      </c>
      <c r="B50" s="25" t="s">
        <v>2448</v>
      </c>
      <c r="C50" s="25" t="s">
        <v>1063</v>
      </c>
      <c r="D50" s="25" t="s">
        <v>2561</v>
      </c>
      <c r="E50" s="30">
        <v>45195.0</v>
      </c>
      <c r="F50" s="30">
        <v>45718.0</v>
      </c>
      <c r="G50" s="39">
        <v>25.0</v>
      </c>
      <c r="H50" s="37">
        <v>3793.0</v>
      </c>
      <c r="I50" s="37">
        <v>747.0</v>
      </c>
      <c r="J50" s="25" t="s">
        <v>181</v>
      </c>
      <c r="K50" s="25" t="s">
        <v>2515</v>
      </c>
    </row>
    <row r="51" ht="15.75" customHeight="1">
      <c r="A51" s="27" t="s">
        <v>2583</v>
      </c>
      <c r="B51" s="27" t="s">
        <v>2448</v>
      </c>
      <c r="C51" s="27" t="s">
        <v>1122</v>
      </c>
      <c r="D51" s="27" t="s">
        <v>2543</v>
      </c>
      <c r="E51" s="33">
        <v>45192.0</v>
      </c>
      <c r="F51" s="33">
        <v>45735.0</v>
      </c>
      <c r="G51" s="40">
        <v>75.0</v>
      </c>
      <c r="H51" s="38">
        <v>4922.0</v>
      </c>
      <c r="I51" s="38">
        <v>2327.0</v>
      </c>
      <c r="J51" s="27" t="s">
        <v>181</v>
      </c>
      <c r="K51" s="27" t="s">
        <v>2515</v>
      </c>
    </row>
    <row r="52" ht="15.75" customHeight="1">
      <c r="A52" s="25" t="s">
        <v>2584</v>
      </c>
      <c r="B52" s="25" t="s">
        <v>2448</v>
      </c>
      <c r="C52" s="25" t="s">
        <v>1134</v>
      </c>
      <c r="D52" s="25" t="s">
        <v>2538</v>
      </c>
      <c r="E52" s="30">
        <v>45190.0</v>
      </c>
      <c r="F52" s="30">
        <v>45723.0</v>
      </c>
      <c r="G52" s="39">
        <v>50.0</v>
      </c>
      <c r="H52" s="37">
        <v>2195.0</v>
      </c>
      <c r="I52" s="37">
        <v>1523.0</v>
      </c>
      <c r="J52" s="25" t="s">
        <v>181</v>
      </c>
      <c r="K52" s="25" t="s">
        <v>2520</v>
      </c>
    </row>
    <row r="53" ht="15.75" customHeight="1">
      <c r="A53" s="27" t="s">
        <v>2585</v>
      </c>
      <c r="B53" s="27" t="s">
        <v>2448</v>
      </c>
      <c r="C53" s="27" t="s">
        <v>1160</v>
      </c>
      <c r="D53" s="27" t="s">
        <v>2538</v>
      </c>
      <c r="E53" s="33">
        <v>45170.0</v>
      </c>
      <c r="F53" s="33">
        <v>45728.0</v>
      </c>
      <c r="G53" s="40">
        <v>100.0</v>
      </c>
      <c r="H53" s="38">
        <v>1084.0</v>
      </c>
      <c r="I53" s="38">
        <v>3189.0</v>
      </c>
      <c r="J53" s="27" t="s">
        <v>181</v>
      </c>
      <c r="K53" s="27" t="s">
        <v>2520</v>
      </c>
    </row>
    <row r="54" ht="15.75" customHeight="1">
      <c r="A54" s="25" t="s">
        <v>2586</v>
      </c>
      <c r="B54" s="25" t="s">
        <v>2448</v>
      </c>
      <c r="C54" s="25" t="s">
        <v>1213</v>
      </c>
      <c r="D54" s="25" t="s">
        <v>2538</v>
      </c>
      <c r="E54" s="30">
        <v>45192.0</v>
      </c>
      <c r="F54" s="30">
        <v>45747.0</v>
      </c>
      <c r="G54" s="39">
        <v>50.0</v>
      </c>
      <c r="H54" s="37">
        <v>2914.0</v>
      </c>
      <c r="I54" s="37">
        <v>1586.0</v>
      </c>
      <c r="J54" s="25" t="s">
        <v>181</v>
      </c>
      <c r="K54" s="25" t="s">
        <v>2515</v>
      </c>
    </row>
    <row r="55" ht="15.75" customHeight="1">
      <c r="A55" s="27" t="s">
        <v>2587</v>
      </c>
      <c r="B55" s="27" t="s">
        <v>2448</v>
      </c>
      <c r="C55" s="27" t="s">
        <v>1437</v>
      </c>
      <c r="D55" s="27" t="s">
        <v>2548</v>
      </c>
      <c r="E55" s="33">
        <v>45183.0</v>
      </c>
      <c r="F55" s="33">
        <v>45723.0</v>
      </c>
      <c r="G55" s="40">
        <v>75.0</v>
      </c>
      <c r="H55" s="38">
        <v>1793.0</v>
      </c>
      <c r="I55" s="38">
        <v>2314.0</v>
      </c>
      <c r="J55" s="27" t="s">
        <v>187</v>
      </c>
      <c r="K55" s="27" t="s">
        <v>2515</v>
      </c>
    </row>
    <row r="56" ht="15.75" customHeight="1">
      <c r="A56" s="25" t="s">
        <v>2588</v>
      </c>
      <c r="B56" s="25" t="s">
        <v>2448</v>
      </c>
      <c r="C56" s="25" t="s">
        <v>1367</v>
      </c>
      <c r="D56" s="25" t="s">
        <v>2548</v>
      </c>
      <c r="E56" s="30">
        <v>45176.0</v>
      </c>
      <c r="F56" s="30">
        <v>45743.0</v>
      </c>
      <c r="G56" s="39">
        <v>75.0</v>
      </c>
      <c r="H56" s="37">
        <v>2895.0</v>
      </c>
      <c r="I56" s="37">
        <v>2430.0</v>
      </c>
      <c r="J56" s="25" t="s">
        <v>181</v>
      </c>
      <c r="K56" s="25" t="s">
        <v>2515</v>
      </c>
    </row>
    <row r="57" ht="15.75" customHeight="1">
      <c r="A57" s="27" t="s">
        <v>2589</v>
      </c>
      <c r="B57" s="27" t="s">
        <v>2448</v>
      </c>
      <c r="C57" s="27" t="s">
        <v>1324</v>
      </c>
      <c r="D57" s="27" t="s">
        <v>2548</v>
      </c>
      <c r="E57" s="33">
        <v>45180.0</v>
      </c>
      <c r="F57" s="33">
        <v>45743.0</v>
      </c>
      <c r="G57" s="40">
        <v>100.0</v>
      </c>
      <c r="H57" s="38">
        <v>3905.0</v>
      </c>
      <c r="I57" s="38">
        <v>3217.0</v>
      </c>
      <c r="J57" s="27" t="s">
        <v>181</v>
      </c>
      <c r="K57" s="27" t="s">
        <v>2515</v>
      </c>
    </row>
    <row r="58" ht="15.75" customHeight="1">
      <c r="A58" s="25" t="s">
        <v>2590</v>
      </c>
      <c r="B58" s="25" t="s">
        <v>2448</v>
      </c>
      <c r="C58" s="25" t="s">
        <v>1306</v>
      </c>
      <c r="D58" s="25" t="s">
        <v>2548</v>
      </c>
      <c r="E58" s="30">
        <v>45179.0</v>
      </c>
      <c r="F58" s="30">
        <v>45723.0</v>
      </c>
      <c r="G58" s="39">
        <v>100.0</v>
      </c>
      <c r="H58" s="37">
        <v>3522.0</v>
      </c>
      <c r="I58" s="37">
        <v>3109.0</v>
      </c>
      <c r="J58" s="25" t="s">
        <v>181</v>
      </c>
      <c r="K58" s="25" t="s">
        <v>2531</v>
      </c>
    </row>
    <row r="59" ht="15.75" customHeight="1">
      <c r="A59" s="27" t="s">
        <v>2591</v>
      </c>
      <c r="B59" s="27" t="s">
        <v>2453</v>
      </c>
      <c r="C59" s="27" t="s">
        <v>497</v>
      </c>
      <c r="D59" s="27" t="s">
        <v>2514</v>
      </c>
      <c r="E59" s="33">
        <v>45327.0</v>
      </c>
      <c r="F59" s="33">
        <v>45808.0</v>
      </c>
      <c r="G59" s="40">
        <v>50.0</v>
      </c>
      <c r="H59" s="38">
        <v>1508.0</v>
      </c>
      <c r="I59" s="38">
        <v>1374.0</v>
      </c>
      <c r="J59" s="27" t="s">
        <v>181</v>
      </c>
      <c r="K59" s="27" t="s">
        <v>2531</v>
      </c>
    </row>
    <row r="60" ht="15.75" customHeight="1">
      <c r="A60" s="25" t="s">
        <v>2592</v>
      </c>
      <c r="B60" s="25" t="s">
        <v>2453</v>
      </c>
      <c r="C60" s="25" t="s">
        <v>571</v>
      </c>
      <c r="D60" s="25" t="s">
        <v>2573</v>
      </c>
      <c r="E60" s="30">
        <v>45336.0</v>
      </c>
      <c r="F60" s="30">
        <v>45815.0</v>
      </c>
      <c r="G60" s="39">
        <v>50.0</v>
      </c>
      <c r="H60" s="37">
        <v>3986.0</v>
      </c>
      <c r="I60" s="37">
        <v>1369.0</v>
      </c>
      <c r="J60" s="25" t="s">
        <v>181</v>
      </c>
      <c r="K60" s="25" t="s">
        <v>2515</v>
      </c>
    </row>
    <row r="61" ht="15.75" customHeight="1">
      <c r="A61" s="27" t="s">
        <v>2593</v>
      </c>
      <c r="B61" s="27" t="s">
        <v>2453</v>
      </c>
      <c r="C61" s="27" t="s">
        <v>620</v>
      </c>
      <c r="D61" s="27" t="s">
        <v>2522</v>
      </c>
      <c r="E61" s="33">
        <v>45342.0</v>
      </c>
      <c r="F61" s="33">
        <v>45831.0</v>
      </c>
      <c r="G61" s="40">
        <v>50.0</v>
      </c>
      <c r="H61" s="38">
        <v>3200.0</v>
      </c>
      <c r="I61" s="38">
        <v>1397.0</v>
      </c>
      <c r="J61" s="27" t="s">
        <v>181</v>
      </c>
      <c r="K61" s="27" t="s">
        <v>2515</v>
      </c>
    </row>
    <row r="62" ht="15.75" customHeight="1">
      <c r="A62" s="25" t="s">
        <v>2594</v>
      </c>
      <c r="B62" s="25" t="s">
        <v>2453</v>
      </c>
      <c r="C62" s="25" t="s">
        <v>682</v>
      </c>
      <c r="D62" s="25" t="s">
        <v>2522</v>
      </c>
      <c r="E62" s="30">
        <v>45338.0</v>
      </c>
      <c r="F62" s="30">
        <v>45836.0</v>
      </c>
      <c r="G62" s="39">
        <v>75.0</v>
      </c>
      <c r="H62" s="37">
        <v>5484.0</v>
      </c>
      <c r="I62" s="37">
        <v>2134.0</v>
      </c>
      <c r="J62" s="25" t="s">
        <v>181</v>
      </c>
      <c r="K62" s="25" t="s">
        <v>2520</v>
      </c>
    </row>
    <row r="63" ht="15.75" customHeight="1">
      <c r="A63" s="27" t="s">
        <v>2595</v>
      </c>
      <c r="B63" s="27" t="s">
        <v>2453</v>
      </c>
      <c r="C63" s="27" t="s">
        <v>750</v>
      </c>
      <c r="D63" s="27" t="s">
        <v>2524</v>
      </c>
      <c r="E63" s="33">
        <v>45336.0</v>
      </c>
      <c r="F63" s="33">
        <v>45822.0</v>
      </c>
      <c r="G63" s="40">
        <v>50.0</v>
      </c>
      <c r="H63" s="38">
        <v>3110.0</v>
      </c>
      <c r="I63" s="38">
        <v>1389.0</v>
      </c>
      <c r="J63" s="27" t="s">
        <v>181</v>
      </c>
      <c r="K63" s="27" t="s">
        <v>2515</v>
      </c>
    </row>
    <row r="64" ht="15.75" customHeight="1">
      <c r="A64" s="25" t="s">
        <v>2596</v>
      </c>
      <c r="B64" s="25" t="s">
        <v>2453</v>
      </c>
      <c r="C64" s="25" t="s">
        <v>689</v>
      </c>
      <c r="D64" s="25" t="s">
        <v>2526</v>
      </c>
      <c r="E64" s="30">
        <v>45335.0</v>
      </c>
      <c r="F64" s="30">
        <v>45825.0</v>
      </c>
      <c r="G64" s="39">
        <v>100.0</v>
      </c>
      <c r="H64" s="37">
        <v>989.0</v>
      </c>
      <c r="I64" s="37">
        <v>2800.0</v>
      </c>
      <c r="J64" s="25" t="s">
        <v>181</v>
      </c>
      <c r="K64" s="25" t="s">
        <v>2515</v>
      </c>
    </row>
    <row r="65" ht="15.75" customHeight="1">
      <c r="A65" s="27" t="s">
        <v>2597</v>
      </c>
      <c r="B65" s="27" t="s">
        <v>2453</v>
      </c>
      <c r="C65" s="27" t="s">
        <v>849</v>
      </c>
      <c r="D65" s="27" t="s">
        <v>2530</v>
      </c>
      <c r="E65" s="33">
        <v>45328.0</v>
      </c>
      <c r="F65" s="33">
        <v>45830.0</v>
      </c>
      <c r="G65" s="40">
        <v>50.0</v>
      </c>
      <c r="H65" s="38">
        <v>3122.0</v>
      </c>
      <c r="I65" s="38">
        <v>1434.0</v>
      </c>
      <c r="J65" s="27" t="s">
        <v>181</v>
      </c>
      <c r="K65" s="27" t="s">
        <v>2515</v>
      </c>
    </row>
    <row r="66" ht="15.75" customHeight="1">
      <c r="A66" s="25" t="s">
        <v>2598</v>
      </c>
      <c r="B66" s="25" t="s">
        <v>2453</v>
      </c>
      <c r="C66" s="25" t="s">
        <v>928</v>
      </c>
      <c r="D66" s="25" t="s">
        <v>2530</v>
      </c>
      <c r="E66" s="30">
        <v>45338.0</v>
      </c>
      <c r="F66" s="30">
        <v>45836.0</v>
      </c>
      <c r="G66" s="39">
        <v>100.0</v>
      </c>
      <c r="H66" s="37">
        <v>3161.0</v>
      </c>
      <c r="I66" s="37">
        <v>2846.0</v>
      </c>
      <c r="J66" s="25" t="s">
        <v>181</v>
      </c>
      <c r="K66" s="25" t="s">
        <v>2515</v>
      </c>
    </row>
    <row r="67" ht="15.75" customHeight="1">
      <c r="A67" s="27" t="s">
        <v>2599</v>
      </c>
      <c r="B67" s="27" t="s">
        <v>2453</v>
      </c>
      <c r="C67" s="27" t="s">
        <v>1063</v>
      </c>
      <c r="D67" s="27" t="s">
        <v>2536</v>
      </c>
      <c r="E67" s="33">
        <v>45323.0</v>
      </c>
      <c r="F67" s="33">
        <v>45838.0</v>
      </c>
      <c r="G67" s="40">
        <v>50.0</v>
      </c>
      <c r="H67" s="38">
        <v>4648.0</v>
      </c>
      <c r="I67" s="38">
        <v>1471.0</v>
      </c>
      <c r="J67" s="27" t="s">
        <v>181</v>
      </c>
      <c r="K67" s="27" t="s">
        <v>2515</v>
      </c>
    </row>
    <row r="68" ht="15.75" customHeight="1">
      <c r="A68" s="25" t="s">
        <v>2600</v>
      </c>
      <c r="B68" s="25" t="s">
        <v>2453</v>
      </c>
      <c r="C68" s="25" t="s">
        <v>1018</v>
      </c>
      <c r="D68" s="25" t="s">
        <v>2561</v>
      </c>
      <c r="E68" s="30">
        <v>45336.0</v>
      </c>
      <c r="F68" s="30">
        <v>45808.0</v>
      </c>
      <c r="G68" s="39">
        <v>100.0</v>
      </c>
      <c r="H68" s="37">
        <v>2499.0</v>
      </c>
      <c r="I68" s="37">
        <v>2697.0</v>
      </c>
      <c r="J68" s="25" t="s">
        <v>181</v>
      </c>
      <c r="K68" s="25" t="s">
        <v>2515</v>
      </c>
    </row>
    <row r="69" ht="15.75" customHeight="1">
      <c r="A69" s="27" t="s">
        <v>2601</v>
      </c>
      <c r="B69" s="27" t="s">
        <v>2453</v>
      </c>
      <c r="C69" s="27" t="s">
        <v>1043</v>
      </c>
      <c r="D69" s="27" t="s">
        <v>2561</v>
      </c>
      <c r="E69" s="33">
        <v>45341.0</v>
      </c>
      <c r="F69" s="33">
        <v>45836.0</v>
      </c>
      <c r="G69" s="40">
        <v>100.0</v>
      </c>
      <c r="H69" s="38">
        <v>2093.0</v>
      </c>
      <c r="I69" s="38">
        <v>2829.0</v>
      </c>
      <c r="J69" s="27" t="s">
        <v>187</v>
      </c>
      <c r="K69" s="27" t="s">
        <v>2515</v>
      </c>
    </row>
    <row r="70" ht="15.75" customHeight="1">
      <c r="A70" s="25" t="s">
        <v>2602</v>
      </c>
      <c r="B70" s="25" t="s">
        <v>2453</v>
      </c>
      <c r="C70" s="25" t="s">
        <v>1167</v>
      </c>
      <c r="D70" s="25" t="s">
        <v>2543</v>
      </c>
      <c r="E70" s="30">
        <v>45328.0</v>
      </c>
      <c r="F70" s="30">
        <v>45832.0</v>
      </c>
      <c r="G70" s="39">
        <v>100.0</v>
      </c>
      <c r="H70" s="37">
        <v>4715.0</v>
      </c>
      <c r="I70" s="37">
        <v>2880.0</v>
      </c>
      <c r="J70" s="25" t="s">
        <v>181</v>
      </c>
      <c r="K70" s="25" t="s">
        <v>2515</v>
      </c>
    </row>
    <row r="71" ht="15.75" customHeight="1">
      <c r="A71" s="27" t="s">
        <v>2603</v>
      </c>
      <c r="B71" s="27" t="s">
        <v>2453</v>
      </c>
      <c r="C71" s="27" t="s">
        <v>1134</v>
      </c>
      <c r="D71" s="27" t="s">
        <v>2538</v>
      </c>
      <c r="E71" s="33">
        <v>45338.0</v>
      </c>
      <c r="F71" s="33">
        <v>45818.0</v>
      </c>
      <c r="G71" s="40">
        <v>75.0</v>
      </c>
      <c r="H71" s="38">
        <v>2940.0</v>
      </c>
      <c r="I71" s="38">
        <v>2057.0</v>
      </c>
      <c r="J71" s="27" t="s">
        <v>181</v>
      </c>
      <c r="K71" s="27" t="s">
        <v>2515</v>
      </c>
    </row>
    <row r="72" ht="15.75" customHeight="1">
      <c r="A72" s="25" t="s">
        <v>2604</v>
      </c>
      <c r="B72" s="25" t="s">
        <v>2453</v>
      </c>
      <c r="C72" s="25" t="s">
        <v>1193</v>
      </c>
      <c r="D72" s="25" t="s">
        <v>2538</v>
      </c>
      <c r="E72" s="30">
        <v>45346.0</v>
      </c>
      <c r="F72" s="30">
        <v>45831.0</v>
      </c>
      <c r="G72" s="39">
        <v>100.0</v>
      </c>
      <c r="H72" s="37">
        <v>4691.0</v>
      </c>
      <c r="I72" s="37">
        <v>2771.0</v>
      </c>
      <c r="J72" s="25" t="s">
        <v>187</v>
      </c>
      <c r="K72" s="25" t="s">
        <v>2515</v>
      </c>
    </row>
    <row r="73" ht="15.75" customHeight="1">
      <c r="A73" s="27" t="s">
        <v>2605</v>
      </c>
      <c r="B73" s="27" t="s">
        <v>2453</v>
      </c>
      <c r="C73" s="27" t="s">
        <v>1231</v>
      </c>
      <c r="D73" s="27" t="s">
        <v>2541</v>
      </c>
      <c r="E73" s="33">
        <v>45343.0</v>
      </c>
      <c r="F73" s="33">
        <v>45834.0</v>
      </c>
      <c r="G73" s="40">
        <v>25.0</v>
      </c>
      <c r="H73" s="38">
        <v>3729.0</v>
      </c>
      <c r="I73" s="38">
        <v>701.0</v>
      </c>
      <c r="J73" s="27" t="s">
        <v>181</v>
      </c>
      <c r="K73" s="27" t="s">
        <v>2515</v>
      </c>
    </row>
    <row r="74" ht="15.75" customHeight="1">
      <c r="A74" s="25" t="s">
        <v>2606</v>
      </c>
      <c r="B74" s="25" t="s">
        <v>2453</v>
      </c>
      <c r="C74" s="25" t="s">
        <v>1293</v>
      </c>
      <c r="D74" s="25" t="s">
        <v>2548</v>
      </c>
      <c r="E74" s="30">
        <v>45341.0</v>
      </c>
      <c r="F74" s="30">
        <v>45808.0</v>
      </c>
      <c r="G74" s="39">
        <v>75.0</v>
      </c>
      <c r="H74" s="37">
        <v>1839.0</v>
      </c>
      <c r="I74" s="37">
        <v>2001.0</v>
      </c>
      <c r="J74" s="25" t="s">
        <v>181</v>
      </c>
      <c r="K74" s="25" t="s">
        <v>2515</v>
      </c>
    </row>
    <row r="75" ht="15.75" customHeight="1">
      <c r="A75" s="27" t="s">
        <v>2607</v>
      </c>
      <c r="B75" s="27" t="s">
        <v>2453</v>
      </c>
      <c r="C75" s="27" t="s">
        <v>1306</v>
      </c>
      <c r="D75" s="27" t="s">
        <v>2548</v>
      </c>
      <c r="E75" s="33">
        <v>45352.0</v>
      </c>
      <c r="F75" s="33">
        <v>45826.0</v>
      </c>
      <c r="G75" s="40">
        <v>25.0</v>
      </c>
      <c r="H75" s="38">
        <v>3506.0</v>
      </c>
      <c r="I75" s="38">
        <v>677.0</v>
      </c>
      <c r="J75" s="27" t="s">
        <v>181</v>
      </c>
      <c r="K75" s="27" t="s">
        <v>2515</v>
      </c>
    </row>
    <row r="76" ht="15.75" customHeight="1">
      <c r="A76" s="25" t="s">
        <v>2608</v>
      </c>
      <c r="B76" s="25" t="s">
        <v>2453</v>
      </c>
      <c r="C76" s="25" t="s">
        <v>1461</v>
      </c>
      <c r="D76" s="25" t="s">
        <v>2548</v>
      </c>
      <c r="E76" s="30">
        <v>45328.0</v>
      </c>
      <c r="F76" s="30">
        <v>45812.0</v>
      </c>
      <c r="G76" s="39">
        <v>50.0</v>
      </c>
      <c r="H76" s="37">
        <v>4479.0</v>
      </c>
      <c r="I76" s="37">
        <v>1383.0</v>
      </c>
      <c r="J76" s="25" t="s">
        <v>181</v>
      </c>
      <c r="K76" s="25" t="s">
        <v>2515</v>
      </c>
    </row>
    <row r="77" ht="15.75" customHeight="1">
      <c r="A77" s="27" t="s">
        <v>2609</v>
      </c>
      <c r="B77" s="27" t="s">
        <v>2453</v>
      </c>
      <c r="C77" s="27" t="s">
        <v>1386</v>
      </c>
      <c r="D77" s="27" t="s">
        <v>2545</v>
      </c>
      <c r="E77" s="33">
        <v>45347.0</v>
      </c>
      <c r="F77" s="33">
        <v>45810.0</v>
      </c>
      <c r="G77" s="40">
        <v>75.0</v>
      </c>
      <c r="H77" s="38">
        <v>3883.0</v>
      </c>
      <c r="I77" s="38">
        <v>1984.0</v>
      </c>
      <c r="J77" s="27" t="s">
        <v>181</v>
      </c>
      <c r="K77" s="27" t="s">
        <v>2520</v>
      </c>
    </row>
    <row r="78" ht="15.75" customHeight="1">
      <c r="A78" s="25" t="s">
        <v>2610</v>
      </c>
      <c r="B78" s="25" t="s">
        <v>2457</v>
      </c>
      <c r="C78" s="25" t="s">
        <v>475</v>
      </c>
      <c r="D78" s="25" t="s">
        <v>2551</v>
      </c>
      <c r="E78" s="30">
        <v>44997.0</v>
      </c>
      <c r="F78" s="30">
        <v>45345.0</v>
      </c>
      <c r="G78" s="39">
        <v>100.0</v>
      </c>
      <c r="H78" s="37">
        <v>2245.0</v>
      </c>
      <c r="I78" s="37">
        <v>1989.0</v>
      </c>
      <c r="J78" s="25" t="s">
        <v>181</v>
      </c>
      <c r="K78" s="25" t="s">
        <v>2515</v>
      </c>
    </row>
    <row r="79" ht="15.75" customHeight="1">
      <c r="A79" s="27" t="s">
        <v>2611</v>
      </c>
      <c r="B79" s="27" t="s">
        <v>2457</v>
      </c>
      <c r="C79" s="27" t="s">
        <v>571</v>
      </c>
      <c r="D79" s="27" t="s">
        <v>2573</v>
      </c>
      <c r="E79" s="33">
        <v>45012.0</v>
      </c>
      <c r="F79" s="33">
        <v>45344.0</v>
      </c>
      <c r="G79" s="40">
        <v>25.0</v>
      </c>
      <c r="H79" s="38">
        <v>3662.0</v>
      </c>
      <c r="I79" s="38">
        <v>474.0</v>
      </c>
      <c r="J79" s="27" t="s">
        <v>187</v>
      </c>
      <c r="K79" s="27" t="s">
        <v>2531</v>
      </c>
    </row>
    <row r="80" ht="15.75" customHeight="1">
      <c r="A80" s="25" t="s">
        <v>2612</v>
      </c>
      <c r="B80" s="25" t="s">
        <v>2457</v>
      </c>
      <c r="C80" s="25" t="s">
        <v>613</v>
      </c>
      <c r="D80" s="25" t="s">
        <v>2522</v>
      </c>
      <c r="E80" s="30">
        <v>45014.0</v>
      </c>
      <c r="F80" s="30">
        <v>45323.0</v>
      </c>
      <c r="G80" s="39">
        <v>50.0</v>
      </c>
      <c r="H80" s="37">
        <v>2343.0</v>
      </c>
      <c r="I80" s="37">
        <v>883.0</v>
      </c>
      <c r="J80" s="25" t="s">
        <v>181</v>
      </c>
      <c r="K80" s="25" t="s">
        <v>2515</v>
      </c>
    </row>
    <row r="81" ht="15.75" customHeight="1">
      <c r="A81" s="27" t="s">
        <v>2613</v>
      </c>
      <c r="B81" s="27" t="s">
        <v>2457</v>
      </c>
      <c r="C81" s="27" t="s">
        <v>628</v>
      </c>
      <c r="D81" s="27" t="s">
        <v>2522</v>
      </c>
      <c r="E81" s="33">
        <v>44988.0</v>
      </c>
      <c r="F81" s="33">
        <v>45338.0</v>
      </c>
      <c r="G81" s="40">
        <v>50.0</v>
      </c>
      <c r="H81" s="38">
        <v>1408.0</v>
      </c>
      <c r="I81" s="38">
        <v>1000.0</v>
      </c>
      <c r="J81" s="27" t="s">
        <v>187</v>
      </c>
      <c r="K81" s="27" t="s">
        <v>2531</v>
      </c>
    </row>
    <row r="82" ht="15.75" customHeight="1">
      <c r="A82" s="25" t="s">
        <v>2614</v>
      </c>
      <c r="B82" s="25" t="s">
        <v>2457</v>
      </c>
      <c r="C82" s="25" t="s">
        <v>771</v>
      </c>
      <c r="D82" s="25" t="s">
        <v>2526</v>
      </c>
      <c r="E82" s="30">
        <v>45007.0</v>
      </c>
      <c r="F82" s="30">
        <v>45326.0</v>
      </c>
      <c r="G82" s="39">
        <v>50.0</v>
      </c>
      <c r="H82" s="37">
        <v>3144.0</v>
      </c>
      <c r="I82" s="37">
        <v>911.0</v>
      </c>
      <c r="J82" s="25" t="s">
        <v>187</v>
      </c>
      <c r="K82" s="25" t="s">
        <v>2531</v>
      </c>
    </row>
    <row r="83" ht="15.75" customHeight="1">
      <c r="A83" s="27" t="s">
        <v>2615</v>
      </c>
      <c r="B83" s="27" t="s">
        <v>2457</v>
      </c>
      <c r="C83" s="27" t="s">
        <v>712</v>
      </c>
      <c r="D83" s="27" t="s">
        <v>2526</v>
      </c>
      <c r="E83" s="33">
        <v>45002.0</v>
      </c>
      <c r="F83" s="33">
        <v>45325.0</v>
      </c>
      <c r="G83" s="40">
        <v>25.0</v>
      </c>
      <c r="H83" s="38">
        <v>1352.0</v>
      </c>
      <c r="I83" s="38">
        <v>461.0</v>
      </c>
      <c r="J83" s="27" t="s">
        <v>181</v>
      </c>
      <c r="K83" s="27" t="s">
        <v>2531</v>
      </c>
    </row>
    <row r="84" ht="15.75" customHeight="1">
      <c r="A84" s="25" t="s">
        <v>2616</v>
      </c>
      <c r="B84" s="25" t="s">
        <v>2457</v>
      </c>
      <c r="C84" s="25" t="s">
        <v>883</v>
      </c>
      <c r="D84" s="25" t="s">
        <v>2530</v>
      </c>
      <c r="E84" s="30">
        <v>44996.0</v>
      </c>
      <c r="F84" s="30">
        <v>45331.0</v>
      </c>
      <c r="G84" s="39">
        <v>100.0</v>
      </c>
      <c r="H84" s="37">
        <v>2788.0</v>
      </c>
      <c r="I84" s="37">
        <v>1914.0</v>
      </c>
      <c r="J84" s="25" t="s">
        <v>181</v>
      </c>
      <c r="K84" s="25" t="s">
        <v>2515</v>
      </c>
    </row>
    <row r="85" ht="15.75" customHeight="1">
      <c r="A85" s="27" t="s">
        <v>2617</v>
      </c>
      <c r="B85" s="27" t="s">
        <v>2457</v>
      </c>
      <c r="C85" s="27" t="s">
        <v>862</v>
      </c>
      <c r="D85" s="27" t="s">
        <v>2530</v>
      </c>
      <c r="E85" s="33">
        <v>45016.0</v>
      </c>
      <c r="F85" s="33">
        <v>45339.0</v>
      </c>
      <c r="G85" s="40">
        <v>75.0</v>
      </c>
      <c r="H85" s="38">
        <v>4231.0</v>
      </c>
      <c r="I85" s="38">
        <v>1384.0</v>
      </c>
      <c r="J85" s="27" t="s">
        <v>181</v>
      </c>
      <c r="K85" s="27" t="s">
        <v>2515</v>
      </c>
    </row>
    <row r="86" ht="15.75" customHeight="1">
      <c r="A86" s="25" t="s">
        <v>2618</v>
      </c>
      <c r="B86" s="25" t="s">
        <v>2457</v>
      </c>
      <c r="C86" s="25" t="s">
        <v>935</v>
      </c>
      <c r="D86" s="25" t="s">
        <v>2536</v>
      </c>
      <c r="E86" s="30">
        <v>45011.0</v>
      </c>
      <c r="F86" s="30">
        <v>45347.0</v>
      </c>
      <c r="G86" s="39">
        <v>75.0</v>
      </c>
      <c r="H86" s="37">
        <v>4467.0</v>
      </c>
      <c r="I86" s="37">
        <v>1440.0</v>
      </c>
      <c r="J86" s="25" t="s">
        <v>181</v>
      </c>
      <c r="K86" s="25" t="s">
        <v>2531</v>
      </c>
    </row>
    <row r="87" ht="15.75" customHeight="1">
      <c r="A87" s="27" t="s">
        <v>2619</v>
      </c>
      <c r="B87" s="27" t="s">
        <v>2457</v>
      </c>
      <c r="C87" s="27" t="s">
        <v>969</v>
      </c>
      <c r="D87" s="27" t="s">
        <v>2561</v>
      </c>
      <c r="E87" s="33">
        <v>44989.0</v>
      </c>
      <c r="F87" s="33">
        <v>45323.0</v>
      </c>
      <c r="G87" s="40">
        <v>50.0</v>
      </c>
      <c r="H87" s="38">
        <v>908.0</v>
      </c>
      <c r="I87" s="38">
        <v>954.0</v>
      </c>
      <c r="J87" s="27" t="s">
        <v>181</v>
      </c>
      <c r="K87" s="27" t="s">
        <v>2515</v>
      </c>
    </row>
    <row r="88" ht="15.75" customHeight="1">
      <c r="A88" s="25" t="s">
        <v>2620</v>
      </c>
      <c r="B88" s="25" t="s">
        <v>2457</v>
      </c>
      <c r="C88" s="25" t="s">
        <v>1037</v>
      </c>
      <c r="D88" s="25" t="s">
        <v>2536</v>
      </c>
      <c r="E88" s="30">
        <v>45007.0</v>
      </c>
      <c r="F88" s="30">
        <v>45329.0</v>
      </c>
      <c r="G88" s="39">
        <v>75.0</v>
      </c>
      <c r="H88" s="37">
        <v>2698.0</v>
      </c>
      <c r="I88" s="37">
        <v>1380.0</v>
      </c>
      <c r="J88" s="25" t="s">
        <v>181</v>
      </c>
      <c r="K88" s="25" t="s">
        <v>2515</v>
      </c>
    </row>
    <row r="89" ht="15.75" customHeight="1">
      <c r="A89" s="27" t="s">
        <v>2621</v>
      </c>
      <c r="B89" s="27" t="s">
        <v>2457</v>
      </c>
      <c r="C89" s="27" t="s">
        <v>1102</v>
      </c>
      <c r="D89" s="27" t="s">
        <v>2538</v>
      </c>
      <c r="E89" s="33">
        <v>45006.0</v>
      </c>
      <c r="F89" s="33">
        <v>45320.0</v>
      </c>
      <c r="G89" s="40">
        <v>50.0</v>
      </c>
      <c r="H89" s="38">
        <v>813.0</v>
      </c>
      <c r="I89" s="38">
        <v>897.0</v>
      </c>
      <c r="J89" s="27" t="s">
        <v>181</v>
      </c>
      <c r="K89" s="27" t="s">
        <v>2520</v>
      </c>
    </row>
    <row r="90" ht="15.75" customHeight="1">
      <c r="A90" s="25" t="s">
        <v>2622</v>
      </c>
      <c r="B90" s="25" t="s">
        <v>2457</v>
      </c>
      <c r="C90" s="25" t="s">
        <v>1122</v>
      </c>
      <c r="D90" s="25" t="s">
        <v>2538</v>
      </c>
      <c r="E90" s="30">
        <v>45011.0</v>
      </c>
      <c r="F90" s="30">
        <v>45327.0</v>
      </c>
      <c r="G90" s="39">
        <v>75.0</v>
      </c>
      <c r="H90" s="37">
        <v>4468.0</v>
      </c>
      <c r="I90" s="37">
        <v>1354.0</v>
      </c>
      <c r="J90" s="25" t="s">
        <v>181</v>
      </c>
      <c r="K90" s="25" t="s">
        <v>2515</v>
      </c>
    </row>
    <row r="91" ht="15.75" customHeight="1">
      <c r="A91" s="27" t="s">
        <v>2623</v>
      </c>
      <c r="B91" s="27" t="s">
        <v>2457</v>
      </c>
      <c r="C91" s="27" t="s">
        <v>1116</v>
      </c>
      <c r="D91" s="27" t="s">
        <v>2538</v>
      </c>
      <c r="E91" s="33">
        <v>45005.0</v>
      </c>
      <c r="F91" s="33">
        <v>45325.0</v>
      </c>
      <c r="G91" s="40">
        <v>100.0</v>
      </c>
      <c r="H91" s="38">
        <v>2481.0</v>
      </c>
      <c r="I91" s="38">
        <v>1829.0</v>
      </c>
      <c r="J91" s="27" t="s">
        <v>181</v>
      </c>
      <c r="K91" s="27" t="s">
        <v>2531</v>
      </c>
    </row>
    <row r="92" ht="15.75" customHeight="1">
      <c r="A92" s="25" t="s">
        <v>2624</v>
      </c>
      <c r="B92" s="25" t="s">
        <v>2457</v>
      </c>
      <c r="C92" s="25" t="s">
        <v>1256</v>
      </c>
      <c r="D92" s="25" t="s">
        <v>2541</v>
      </c>
      <c r="E92" s="30">
        <v>44995.0</v>
      </c>
      <c r="F92" s="30">
        <v>45331.0</v>
      </c>
      <c r="G92" s="39">
        <v>25.0</v>
      </c>
      <c r="H92" s="37">
        <v>3884.0</v>
      </c>
      <c r="I92" s="37">
        <v>480.0</v>
      </c>
      <c r="J92" s="25" t="s">
        <v>181</v>
      </c>
      <c r="K92" s="25" t="s">
        <v>2531</v>
      </c>
    </row>
    <row r="93" ht="15.75" customHeight="1">
      <c r="A93" s="27" t="s">
        <v>2625</v>
      </c>
      <c r="B93" s="27" t="s">
        <v>2457</v>
      </c>
      <c r="C93" s="27" t="s">
        <v>1431</v>
      </c>
      <c r="D93" s="27" t="s">
        <v>2548</v>
      </c>
      <c r="E93" s="33">
        <v>44988.0</v>
      </c>
      <c r="F93" s="33">
        <v>45341.0</v>
      </c>
      <c r="G93" s="40">
        <v>50.0</v>
      </c>
      <c r="H93" s="38">
        <v>2891.0</v>
      </c>
      <c r="I93" s="38">
        <v>1009.0</v>
      </c>
      <c r="J93" s="27" t="s">
        <v>181</v>
      </c>
      <c r="K93" s="27" t="s">
        <v>2515</v>
      </c>
    </row>
    <row r="94" ht="15.75" customHeight="1">
      <c r="A94" s="25" t="s">
        <v>2626</v>
      </c>
      <c r="B94" s="25" t="s">
        <v>2457</v>
      </c>
      <c r="C94" s="25" t="s">
        <v>1374</v>
      </c>
      <c r="D94" s="25" t="s">
        <v>2545</v>
      </c>
      <c r="E94" s="30">
        <v>45016.0</v>
      </c>
      <c r="F94" s="30">
        <v>45347.0</v>
      </c>
      <c r="G94" s="39">
        <v>50.0</v>
      </c>
      <c r="H94" s="37">
        <v>4565.0</v>
      </c>
      <c r="I94" s="37">
        <v>946.0</v>
      </c>
      <c r="J94" s="25" t="s">
        <v>181</v>
      </c>
      <c r="K94" s="25" t="s">
        <v>2515</v>
      </c>
    </row>
    <row r="95" ht="15.75" customHeight="1">
      <c r="A95" s="27" t="s">
        <v>2627</v>
      </c>
      <c r="B95" s="27" t="s">
        <v>2457</v>
      </c>
      <c r="C95" s="27" t="s">
        <v>1393</v>
      </c>
      <c r="D95" s="27" t="s">
        <v>2548</v>
      </c>
      <c r="E95" s="33">
        <v>45016.0</v>
      </c>
      <c r="F95" s="33">
        <v>45329.0</v>
      </c>
      <c r="G95" s="40">
        <v>50.0</v>
      </c>
      <c r="H95" s="38">
        <v>1516.0</v>
      </c>
      <c r="I95" s="38">
        <v>894.0</v>
      </c>
      <c r="J95" s="27" t="s">
        <v>181</v>
      </c>
      <c r="K95" s="27" t="s">
        <v>2515</v>
      </c>
    </row>
    <row r="96" ht="15.75" customHeight="1">
      <c r="A96" s="25" t="s">
        <v>2628</v>
      </c>
      <c r="B96" s="25" t="s">
        <v>2457</v>
      </c>
      <c r="C96" s="25" t="s">
        <v>1419</v>
      </c>
      <c r="D96" s="25" t="s">
        <v>2548</v>
      </c>
      <c r="E96" s="30">
        <v>44996.0</v>
      </c>
      <c r="F96" s="30">
        <v>45322.0</v>
      </c>
      <c r="G96" s="39">
        <v>50.0</v>
      </c>
      <c r="H96" s="37">
        <v>4702.0</v>
      </c>
      <c r="I96" s="37">
        <v>931.0</v>
      </c>
      <c r="J96" s="25" t="s">
        <v>181</v>
      </c>
      <c r="K96" s="25" t="s">
        <v>2515</v>
      </c>
    </row>
    <row r="97" ht="15.75" customHeight="1">
      <c r="A97" s="27" t="s">
        <v>2629</v>
      </c>
      <c r="B97" s="27" t="s">
        <v>2461</v>
      </c>
      <c r="C97" s="27" t="s">
        <v>497</v>
      </c>
      <c r="D97" s="27" t="s">
        <v>2551</v>
      </c>
      <c r="E97" s="33">
        <v>45131.0</v>
      </c>
      <c r="F97" s="33">
        <v>45999.0</v>
      </c>
      <c r="G97" s="40">
        <v>100.0</v>
      </c>
      <c r="H97" s="38">
        <v>6842.0</v>
      </c>
      <c r="I97" s="38">
        <v>4960.0</v>
      </c>
      <c r="J97" s="27" t="s">
        <v>181</v>
      </c>
      <c r="K97" s="27" t="s">
        <v>2515</v>
      </c>
    </row>
    <row r="98" ht="15.75" customHeight="1">
      <c r="A98" s="25" t="s">
        <v>2630</v>
      </c>
      <c r="B98" s="25" t="s">
        <v>2461</v>
      </c>
      <c r="C98" s="25" t="s">
        <v>589</v>
      </c>
      <c r="D98" s="25" t="s">
        <v>2517</v>
      </c>
      <c r="E98" s="30">
        <v>45111.0</v>
      </c>
      <c r="F98" s="30">
        <v>46013.0</v>
      </c>
      <c r="G98" s="39">
        <v>50.0</v>
      </c>
      <c r="H98" s="37">
        <v>2365.0</v>
      </c>
      <c r="I98" s="37">
        <v>2577.0</v>
      </c>
      <c r="J98" s="25" t="s">
        <v>181</v>
      </c>
      <c r="K98" s="25" t="s">
        <v>2531</v>
      </c>
    </row>
    <row r="99" ht="15.75" customHeight="1">
      <c r="A99" s="27" t="s">
        <v>2631</v>
      </c>
      <c r="B99" s="27" t="s">
        <v>2461</v>
      </c>
      <c r="C99" s="27" t="s">
        <v>675</v>
      </c>
      <c r="D99" s="27" t="s">
        <v>2522</v>
      </c>
      <c r="E99" s="33">
        <v>45112.0</v>
      </c>
      <c r="F99" s="33">
        <v>45995.0</v>
      </c>
      <c r="G99" s="40">
        <v>25.0</v>
      </c>
      <c r="H99" s="38">
        <v>3975.0</v>
      </c>
      <c r="I99" s="38">
        <v>1261.0</v>
      </c>
      <c r="J99" s="27" t="s">
        <v>181</v>
      </c>
      <c r="K99" s="27" t="s">
        <v>2515</v>
      </c>
    </row>
    <row r="100" ht="15.75" customHeight="1">
      <c r="A100" s="25" t="s">
        <v>2632</v>
      </c>
      <c r="B100" s="25" t="s">
        <v>2461</v>
      </c>
      <c r="C100" s="25" t="s">
        <v>605</v>
      </c>
      <c r="D100" s="25" t="s">
        <v>2522</v>
      </c>
      <c r="E100" s="30">
        <v>45125.0</v>
      </c>
      <c r="F100" s="30">
        <v>46016.0</v>
      </c>
      <c r="G100" s="39">
        <v>75.0</v>
      </c>
      <c r="H100" s="37">
        <v>1314.0</v>
      </c>
      <c r="I100" s="37">
        <v>3819.0</v>
      </c>
      <c r="J100" s="25" t="s">
        <v>181</v>
      </c>
      <c r="K100" s="25" t="s">
        <v>2515</v>
      </c>
    </row>
    <row r="101" ht="15.75" customHeight="1">
      <c r="A101" s="27" t="s">
        <v>2633</v>
      </c>
      <c r="B101" s="27" t="s">
        <v>2461</v>
      </c>
      <c r="C101" s="27" t="s">
        <v>764</v>
      </c>
      <c r="D101" s="27" t="s">
        <v>2524</v>
      </c>
      <c r="E101" s="33">
        <v>45137.0</v>
      </c>
      <c r="F101" s="33">
        <v>45997.0</v>
      </c>
      <c r="G101" s="40">
        <v>75.0</v>
      </c>
      <c r="H101" s="38">
        <v>4648.0</v>
      </c>
      <c r="I101" s="38">
        <v>3686.0</v>
      </c>
      <c r="J101" s="27" t="s">
        <v>181</v>
      </c>
      <c r="K101" s="27" t="s">
        <v>2531</v>
      </c>
    </row>
    <row r="102" ht="15.75" customHeight="1">
      <c r="A102" s="25" t="s">
        <v>2634</v>
      </c>
      <c r="B102" s="25" t="s">
        <v>2461</v>
      </c>
      <c r="C102" s="25" t="s">
        <v>705</v>
      </c>
      <c r="D102" s="25" t="s">
        <v>2526</v>
      </c>
      <c r="E102" s="30">
        <v>45125.0</v>
      </c>
      <c r="F102" s="30">
        <v>45995.0</v>
      </c>
      <c r="G102" s="39">
        <v>25.0</v>
      </c>
      <c r="H102" s="37">
        <v>2756.0</v>
      </c>
      <c r="I102" s="37">
        <v>1243.0</v>
      </c>
      <c r="J102" s="25" t="s">
        <v>181</v>
      </c>
      <c r="K102" s="25" t="s">
        <v>2515</v>
      </c>
    </row>
    <row r="103" ht="15.75" customHeight="1">
      <c r="A103" s="27" t="s">
        <v>2635</v>
      </c>
      <c r="B103" s="27" t="s">
        <v>2461</v>
      </c>
      <c r="C103" s="27" t="s">
        <v>915</v>
      </c>
      <c r="D103" s="27" t="s">
        <v>2530</v>
      </c>
      <c r="E103" s="33">
        <v>45122.0</v>
      </c>
      <c r="F103" s="33">
        <v>46018.0</v>
      </c>
      <c r="G103" s="40">
        <v>50.0</v>
      </c>
      <c r="H103" s="38">
        <v>2899.0</v>
      </c>
      <c r="I103" s="38">
        <v>2560.0</v>
      </c>
      <c r="J103" s="27" t="s">
        <v>181</v>
      </c>
      <c r="K103" s="27" t="s">
        <v>2515</v>
      </c>
    </row>
    <row r="104" ht="15.75" customHeight="1">
      <c r="A104" s="25" t="s">
        <v>2636</v>
      </c>
      <c r="B104" s="25" t="s">
        <v>2461</v>
      </c>
      <c r="C104" s="25" t="s">
        <v>903</v>
      </c>
      <c r="D104" s="25" t="s">
        <v>2528</v>
      </c>
      <c r="E104" s="30">
        <v>45130.0</v>
      </c>
      <c r="F104" s="30">
        <v>46019.0</v>
      </c>
      <c r="G104" s="39">
        <v>75.0</v>
      </c>
      <c r="H104" s="37">
        <v>2097.0</v>
      </c>
      <c r="I104" s="37">
        <v>3810.0</v>
      </c>
      <c r="J104" s="25" t="s">
        <v>181</v>
      </c>
      <c r="K104" s="25" t="s">
        <v>2515</v>
      </c>
    </row>
    <row r="105" ht="15.75" customHeight="1">
      <c r="A105" s="27" t="s">
        <v>2637</v>
      </c>
      <c r="B105" s="27" t="s">
        <v>2461</v>
      </c>
      <c r="C105" s="27" t="s">
        <v>950</v>
      </c>
      <c r="D105" s="27" t="s">
        <v>2533</v>
      </c>
      <c r="E105" s="33">
        <v>45114.0</v>
      </c>
      <c r="F105" s="33">
        <v>46007.0</v>
      </c>
      <c r="G105" s="40">
        <v>100.0</v>
      </c>
      <c r="H105" s="38">
        <v>3451.0</v>
      </c>
      <c r="I105" s="38">
        <v>5103.0</v>
      </c>
      <c r="J105" s="27" t="s">
        <v>181</v>
      </c>
      <c r="K105" s="27" t="s">
        <v>2515</v>
      </c>
    </row>
    <row r="106" ht="15.75" customHeight="1">
      <c r="A106" s="25" t="s">
        <v>2638</v>
      </c>
      <c r="B106" s="25" t="s">
        <v>2461</v>
      </c>
      <c r="C106" s="25" t="s">
        <v>1082</v>
      </c>
      <c r="D106" s="25" t="s">
        <v>2536</v>
      </c>
      <c r="E106" s="30">
        <v>45130.0</v>
      </c>
      <c r="F106" s="30">
        <v>46016.0</v>
      </c>
      <c r="G106" s="39">
        <v>75.0</v>
      </c>
      <c r="H106" s="37">
        <v>1441.0</v>
      </c>
      <c r="I106" s="37">
        <v>3797.0</v>
      </c>
      <c r="J106" s="25" t="s">
        <v>181</v>
      </c>
      <c r="K106" s="25" t="s">
        <v>2515</v>
      </c>
    </row>
    <row r="107" ht="15.75" customHeight="1">
      <c r="A107" s="27" t="s">
        <v>2639</v>
      </c>
      <c r="B107" s="27" t="s">
        <v>2461</v>
      </c>
      <c r="C107" s="27" t="s">
        <v>1004</v>
      </c>
      <c r="D107" s="27" t="s">
        <v>2536</v>
      </c>
      <c r="E107" s="33">
        <v>45132.0</v>
      </c>
      <c r="F107" s="33">
        <v>46017.0</v>
      </c>
      <c r="G107" s="40">
        <v>25.0</v>
      </c>
      <c r="H107" s="38">
        <v>4677.0</v>
      </c>
      <c r="I107" s="38">
        <v>1264.0</v>
      </c>
      <c r="J107" s="27" t="s">
        <v>181</v>
      </c>
      <c r="K107" s="27" t="s">
        <v>2515</v>
      </c>
    </row>
    <row r="108" ht="15.75" customHeight="1">
      <c r="A108" s="25" t="s">
        <v>2640</v>
      </c>
      <c r="B108" s="25" t="s">
        <v>2461</v>
      </c>
      <c r="C108" s="25" t="s">
        <v>1275</v>
      </c>
      <c r="D108" s="25" t="s">
        <v>2541</v>
      </c>
      <c r="E108" s="30">
        <v>45125.0</v>
      </c>
      <c r="F108" s="30">
        <v>46010.0</v>
      </c>
      <c r="G108" s="39">
        <v>50.0</v>
      </c>
      <c r="H108" s="37">
        <v>4962.0</v>
      </c>
      <c r="I108" s="37">
        <v>2529.0</v>
      </c>
      <c r="J108" s="25" t="s">
        <v>181</v>
      </c>
      <c r="K108" s="25" t="s">
        <v>2515</v>
      </c>
    </row>
    <row r="109" ht="15.75" customHeight="1">
      <c r="A109" s="27" t="s">
        <v>2641</v>
      </c>
      <c r="B109" s="27" t="s">
        <v>2461</v>
      </c>
      <c r="C109" s="27" t="s">
        <v>1147</v>
      </c>
      <c r="D109" s="27" t="s">
        <v>2541</v>
      </c>
      <c r="E109" s="33">
        <v>45124.0</v>
      </c>
      <c r="F109" s="33">
        <v>45999.0</v>
      </c>
      <c r="G109" s="40">
        <v>100.0</v>
      </c>
      <c r="H109" s="38">
        <v>2442.0</v>
      </c>
      <c r="I109" s="38">
        <v>5000.0</v>
      </c>
      <c r="J109" s="27" t="s">
        <v>181</v>
      </c>
      <c r="K109" s="27" t="s">
        <v>2515</v>
      </c>
    </row>
    <row r="110" ht="15.75" customHeight="1">
      <c r="A110" s="25" t="s">
        <v>2642</v>
      </c>
      <c r="B110" s="25" t="s">
        <v>2461</v>
      </c>
      <c r="C110" s="25" t="s">
        <v>1287</v>
      </c>
      <c r="D110" s="25" t="s">
        <v>2543</v>
      </c>
      <c r="E110" s="30">
        <v>45118.0</v>
      </c>
      <c r="F110" s="30">
        <v>45998.0</v>
      </c>
      <c r="G110" s="39">
        <v>100.0</v>
      </c>
      <c r="H110" s="37">
        <v>1209.0</v>
      </c>
      <c r="I110" s="37">
        <v>5029.0</v>
      </c>
      <c r="J110" s="25" t="s">
        <v>181</v>
      </c>
      <c r="K110" s="25" t="s">
        <v>2515</v>
      </c>
    </row>
    <row r="111" ht="15.75" customHeight="1">
      <c r="A111" s="27" t="s">
        <v>2643</v>
      </c>
      <c r="B111" s="27" t="s">
        <v>2461</v>
      </c>
      <c r="C111" s="27" t="s">
        <v>1219</v>
      </c>
      <c r="D111" s="27" t="s">
        <v>2543</v>
      </c>
      <c r="E111" s="33">
        <v>45113.0</v>
      </c>
      <c r="F111" s="33">
        <v>46004.0</v>
      </c>
      <c r="G111" s="40">
        <v>75.0</v>
      </c>
      <c r="H111" s="38">
        <v>2722.0</v>
      </c>
      <c r="I111" s="38">
        <v>3819.0</v>
      </c>
      <c r="J111" s="27" t="s">
        <v>181</v>
      </c>
      <c r="K111" s="27" t="s">
        <v>2531</v>
      </c>
    </row>
    <row r="112" ht="15.75" customHeight="1">
      <c r="A112" s="25" t="s">
        <v>2644</v>
      </c>
      <c r="B112" s="25" t="s">
        <v>2461</v>
      </c>
      <c r="C112" s="25" t="s">
        <v>1443</v>
      </c>
      <c r="D112" s="25" t="s">
        <v>2545</v>
      </c>
      <c r="E112" s="30">
        <v>45133.0</v>
      </c>
      <c r="F112" s="30">
        <v>45999.0</v>
      </c>
      <c r="G112" s="39">
        <v>50.0</v>
      </c>
      <c r="H112" s="37">
        <v>1681.0</v>
      </c>
      <c r="I112" s="37">
        <v>2474.0</v>
      </c>
      <c r="J112" s="25" t="s">
        <v>181</v>
      </c>
      <c r="K112" s="25" t="s">
        <v>2531</v>
      </c>
    </row>
    <row r="113" ht="15.75" customHeight="1">
      <c r="A113" s="27" t="s">
        <v>2645</v>
      </c>
      <c r="B113" s="27" t="s">
        <v>2461</v>
      </c>
      <c r="C113" s="27" t="s">
        <v>1473</v>
      </c>
      <c r="D113" s="27" t="s">
        <v>2545</v>
      </c>
      <c r="E113" s="33">
        <v>45135.0</v>
      </c>
      <c r="F113" s="33">
        <v>46018.0</v>
      </c>
      <c r="G113" s="40">
        <v>25.0</v>
      </c>
      <c r="H113" s="38">
        <v>3649.0</v>
      </c>
      <c r="I113" s="38">
        <v>1261.0</v>
      </c>
      <c r="J113" s="27" t="s">
        <v>181</v>
      </c>
      <c r="K113" s="27" t="s">
        <v>2515</v>
      </c>
    </row>
    <row r="114" ht="15.75" customHeight="1">
      <c r="A114" s="25" t="s">
        <v>2646</v>
      </c>
      <c r="B114" s="25" t="s">
        <v>2461</v>
      </c>
      <c r="C114" s="25" t="s">
        <v>1413</v>
      </c>
      <c r="D114" s="25" t="s">
        <v>2548</v>
      </c>
      <c r="E114" s="30">
        <v>45123.0</v>
      </c>
      <c r="F114" s="30">
        <v>46017.0</v>
      </c>
      <c r="G114" s="39">
        <v>25.0</v>
      </c>
      <c r="H114" s="37">
        <v>1203.0</v>
      </c>
      <c r="I114" s="37">
        <v>1277.0</v>
      </c>
      <c r="J114" s="25" t="s">
        <v>181</v>
      </c>
      <c r="K114" s="25" t="s">
        <v>2520</v>
      </c>
    </row>
    <row r="115" ht="15.75" customHeight="1">
      <c r="A115" s="27" t="s">
        <v>2647</v>
      </c>
      <c r="B115" s="27" t="s">
        <v>2461</v>
      </c>
      <c r="C115" s="27" t="s">
        <v>1306</v>
      </c>
      <c r="D115" s="27" t="s">
        <v>2545</v>
      </c>
      <c r="E115" s="33">
        <v>45128.0</v>
      </c>
      <c r="F115" s="33">
        <v>45999.0</v>
      </c>
      <c r="G115" s="40">
        <v>100.0</v>
      </c>
      <c r="H115" s="38">
        <v>4873.0</v>
      </c>
      <c r="I115" s="38">
        <v>4977.0</v>
      </c>
      <c r="J115" s="27" t="s">
        <v>187</v>
      </c>
      <c r="K115" s="27" t="s">
        <v>2515</v>
      </c>
    </row>
    <row r="116" ht="15.75" customHeight="1">
      <c r="A116" s="25" t="s">
        <v>2648</v>
      </c>
      <c r="B116" s="25" t="s">
        <v>2466</v>
      </c>
      <c r="C116" s="25" t="s">
        <v>487</v>
      </c>
      <c r="D116" s="25" t="s">
        <v>2551</v>
      </c>
      <c r="E116" s="30">
        <v>45309.0</v>
      </c>
      <c r="F116" s="30">
        <v>45774.0</v>
      </c>
      <c r="G116" s="39">
        <v>100.0</v>
      </c>
      <c r="H116" s="37">
        <v>3467.0</v>
      </c>
      <c r="I116" s="37">
        <v>2657.0</v>
      </c>
      <c r="J116" s="25" t="s">
        <v>181</v>
      </c>
      <c r="K116" s="25" t="s">
        <v>2531</v>
      </c>
    </row>
    <row r="117" ht="15.75" customHeight="1">
      <c r="A117" s="27" t="s">
        <v>2649</v>
      </c>
      <c r="B117" s="27" t="s">
        <v>2466</v>
      </c>
      <c r="C117" s="27" t="s">
        <v>581</v>
      </c>
      <c r="D117" s="27" t="s">
        <v>2573</v>
      </c>
      <c r="E117" s="33">
        <v>45324.0</v>
      </c>
      <c r="F117" s="33">
        <v>45762.0</v>
      </c>
      <c r="G117" s="40">
        <v>25.0</v>
      </c>
      <c r="H117" s="38">
        <v>4440.0</v>
      </c>
      <c r="I117" s="38">
        <v>626.0</v>
      </c>
      <c r="J117" s="27" t="s">
        <v>181</v>
      </c>
      <c r="K117" s="27" t="s">
        <v>2515</v>
      </c>
    </row>
    <row r="118" ht="15.75" customHeight="1">
      <c r="A118" s="25" t="s">
        <v>2650</v>
      </c>
      <c r="B118" s="25" t="s">
        <v>2466</v>
      </c>
      <c r="C118" s="25" t="s">
        <v>651</v>
      </c>
      <c r="D118" s="25" t="s">
        <v>2522</v>
      </c>
      <c r="E118" s="30">
        <v>45326.0</v>
      </c>
      <c r="F118" s="30">
        <v>45755.0</v>
      </c>
      <c r="G118" s="39">
        <v>100.0</v>
      </c>
      <c r="H118" s="37">
        <v>3514.0</v>
      </c>
      <c r="I118" s="37">
        <v>2451.0</v>
      </c>
      <c r="J118" s="25" t="s">
        <v>181</v>
      </c>
      <c r="K118" s="25" t="s">
        <v>2515</v>
      </c>
    </row>
    <row r="119" ht="15.75" customHeight="1">
      <c r="A119" s="27" t="s">
        <v>2651</v>
      </c>
      <c r="B119" s="27" t="s">
        <v>2466</v>
      </c>
      <c r="C119" s="27" t="s">
        <v>628</v>
      </c>
      <c r="D119" s="27" t="s">
        <v>2522</v>
      </c>
      <c r="E119" s="33">
        <v>45335.0</v>
      </c>
      <c r="F119" s="33">
        <v>45750.0</v>
      </c>
      <c r="G119" s="40">
        <v>75.0</v>
      </c>
      <c r="H119" s="38">
        <v>1323.0</v>
      </c>
      <c r="I119" s="38">
        <v>1779.0</v>
      </c>
      <c r="J119" s="27" t="s">
        <v>181</v>
      </c>
      <c r="K119" s="27" t="s">
        <v>2515</v>
      </c>
    </row>
    <row r="120" ht="15.75" customHeight="1">
      <c r="A120" s="25" t="s">
        <v>2652</v>
      </c>
      <c r="B120" s="25" t="s">
        <v>2466</v>
      </c>
      <c r="C120" s="25" t="s">
        <v>771</v>
      </c>
      <c r="D120" s="25" t="s">
        <v>2526</v>
      </c>
      <c r="E120" s="30">
        <v>45323.0</v>
      </c>
      <c r="F120" s="30">
        <v>45752.0</v>
      </c>
      <c r="G120" s="39">
        <v>100.0</v>
      </c>
      <c r="H120" s="37">
        <v>3512.0</v>
      </c>
      <c r="I120" s="37">
        <v>2451.0</v>
      </c>
      <c r="J120" s="25" t="s">
        <v>181</v>
      </c>
      <c r="K120" s="25" t="s">
        <v>2515</v>
      </c>
    </row>
    <row r="121" ht="15.75" customHeight="1">
      <c r="A121" s="27" t="s">
        <v>2653</v>
      </c>
      <c r="B121" s="27" t="s">
        <v>2466</v>
      </c>
      <c r="C121" s="27" t="s">
        <v>757</v>
      </c>
      <c r="D121" s="27" t="s">
        <v>2526</v>
      </c>
      <c r="E121" s="33">
        <v>45334.0</v>
      </c>
      <c r="F121" s="33">
        <v>45774.0</v>
      </c>
      <c r="G121" s="40">
        <v>50.0</v>
      </c>
      <c r="H121" s="38">
        <v>5439.0</v>
      </c>
      <c r="I121" s="38">
        <v>1257.0</v>
      </c>
      <c r="J121" s="27" t="s">
        <v>181</v>
      </c>
      <c r="K121" s="27" t="s">
        <v>2531</v>
      </c>
    </row>
    <row r="122" ht="15.75" customHeight="1">
      <c r="A122" s="25" t="s">
        <v>2654</v>
      </c>
      <c r="B122" s="25" t="s">
        <v>2466</v>
      </c>
      <c r="C122" s="25" t="s">
        <v>837</v>
      </c>
      <c r="D122" s="25" t="s">
        <v>2528</v>
      </c>
      <c r="E122" s="30">
        <v>45331.0</v>
      </c>
      <c r="F122" s="30">
        <v>45767.0</v>
      </c>
      <c r="G122" s="39">
        <v>25.0</v>
      </c>
      <c r="H122" s="37">
        <v>3130.0</v>
      </c>
      <c r="I122" s="37">
        <v>623.0</v>
      </c>
      <c r="J122" s="25" t="s">
        <v>181</v>
      </c>
      <c r="K122" s="25" t="s">
        <v>2531</v>
      </c>
    </row>
    <row r="123" ht="15.75" customHeight="1">
      <c r="A123" s="27" t="s">
        <v>2655</v>
      </c>
      <c r="B123" s="27" t="s">
        <v>2466</v>
      </c>
      <c r="C123" s="27" t="s">
        <v>883</v>
      </c>
      <c r="D123" s="27" t="s">
        <v>2528</v>
      </c>
      <c r="E123" s="33">
        <v>45314.0</v>
      </c>
      <c r="F123" s="33">
        <v>45750.0</v>
      </c>
      <c r="G123" s="40">
        <v>50.0</v>
      </c>
      <c r="H123" s="38">
        <v>1169.0</v>
      </c>
      <c r="I123" s="38">
        <v>1246.0</v>
      </c>
      <c r="J123" s="27" t="s">
        <v>181</v>
      </c>
      <c r="K123" s="27" t="s">
        <v>2515</v>
      </c>
    </row>
    <row r="124" ht="15.75" customHeight="1">
      <c r="A124" s="25" t="s">
        <v>2656</v>
      </c>
      <c r="B124" s="25" t="s">
        <v>2466</v>
      </c>
      <c r="C124" s="25" t="s">
        <v>1095</v>
      </c>
      <c r="D124" s="25" t="s">
        <v>2536</v>
      </c>
      <c r="E124" s="30">
        <v>45323.0</v>
      </c>
      <c r="F124" s="30">
        <v>45772.0</v>
      </c>
      <c r="G124" s="39">
        <v>75.0</v>
      </c>
      <c r="H124" s="37">
        <v>2327.0</v>
      </c>
      <c r="I124" s="37">
        <v>1924.0</v>
      </c>
      <c r="J124" s="25" t="s">
        <v>181</v>
      </c>
      <c r="K124" s="25" t="s">
        <v>2515</v>
      </c>
    </row>
    <row r="125" ht="15.75" customHeight="1">
      <c r="A125" s="27" t="s">
        <v>2657</v>
      </c>
      <c r="B125" s="27" t="s">
        <v>2466</v>
      </c>
      <c r="C125" s="27" t="s">
        <v>1082</v>
      </c>
      <c r="D125" s="27" t="s">
        <v>2536</v>
      </c>
      <c r="E125" s="33">
        <v>45336.0</v>
      </c>
      <c r="F125" s="33">
        <v>45747.0</v>
      </c>
      <c r="G125" s="40">
        <v>50.0</v>
      </c>
      <c r="H125" s="38">
        <v>2063.0</v>
      </c>
      <c r="I125" s="38">
        <v>1174.0</v>
      </c>
      <c r="J125" s="27" t="s">
        <v>181</v>
      </c>
      <c r="K125" s="27" t="s">
        <v>2515</v>
      </c>
    </row>
    <row r="126" ht="15.75" customHeight="1">
      <c r="A126" s="25" t="s">
        <v>2658</v>
      </c>
      <c r="B126" s="25" t="s">
        <v>2466</v>
      </c>
      <c r="C126" s="25" t="s">
        <v>1076</v>
      </c>
      <c r="D126" s="25" t="s">
        <v>2533</v>
      </c>
      <c r="E126" s="30">
        <v>45321.0</v>
      </c>
      <c r="F126" s="30">
        <v>45755.0</v>
      </c>
      <c r="G126" s="39">
        <v>100.0</v>
      </c>
      <c r="H126" s="37">
        <v>1387.0</v>
      </c>
      <c r="I126" s="37">
        <v>2480.0</v>
      </c>
      <c r="J126" s="25" t="s">
        <v>181</v>
      </c>
      <c r="K126" s="25" t="s">
        <v>2515</v>
      </c>
    </row>
    <row r="127" ht="15.75" customHeight="1">
      <c r="A127" s="27" t="s">
        <v>2659</v>
      </c>
      <c r="B127" s="27" t="s">
        <v>2466</v>
      </c>
      <c r="C127" s="27" t="s">
        <v>1237</v>
      </c>
      <c r="D127" s="27" t="s">
        <v>2541</v>
      </c>
      <c r="E127" s="33">
        <v>45327.0</v>
      </c>
      <c r="F127" s="33">
        <v>45751.0</v>
      </c>
      <c r="G127" s="40">
        <v>50.0</v>
      </c>
      <c r="H127" s="38">
        <v>3689.0</v>
      </c>
      <c r="I127" s="38">
        <v>1211.0</v>
      </c>
      <c r="J127" s="27" t="s">
        <v>187</v>
      </c>
      <c r="K127" s="27" t="s">
        <v>2531</v>
      </c>
    </row>
    <row r="128" ht="15.75" customHeight="1">
      <c r="A128" s="25" t="s">
        <v>2660</v>
      </c>
      <c r="B128" s="25" t="s">
        <v>2466</v>
      </c>
      <c r="C128" s="25" t="s">
        <v>1116</v>
      </c>
      <c r="D128" s="25" t="s">
        <v>2543</v>
      </c>
      <c r="E128" s="30">
        <v>45312.0</v>
      </c>
      <c r="F128" s="30">
        <v>45747.0</v>
      </c>
      <c r="G128" s="39">
        <v>75.0</v>
      </c>
      <c r="H128" s="37">
        <v>4396.0</v>
      </c>
      <c r="I128" s="37">
        <v>1864.0</v>
      </c>
      <c r="J128" s="25" t="s">
        <v>181</v>
      </c>
      <c r="K128" s="25" t="s">
        <v>2531</v>
      </c>
    </row>
    <row r="129" ht="15.75" customHeight="1">
      <c r="A129" s="27" t="s">
        <v>2661</v>
      </c>
      <c r="B129" s="27" t="s">
        <v>2466</v>
      </c>
      <c r="C129" s="27" t="s">
        <v>1256</v>
      </c>
      <c r="D129" s="27" t="s">
        <v>2538</v>
      </c>
      <c r="E129" s="33">
        <v>45329.0</v>
      </c>
      <c r="F129" s="33">
        <v>45758.0</v>
      </c>
      <c r="G129" s="40">
        <v>75.0</v>
      </c>
      <c r="H129" s="38">
        <v>1965.0</v>
      </c>
      <c r="I129" s="38">
        <v>1839.0</v>
      </c>
      <c r="J129" s="27" t="s">
        <v>181</v>
      </c>
      <c r="K129" s="27" t="s">
        <v>2515</v>
      </c>
    </row>
    <row r="130" ht="15.75" customHeight="1">
      <c r="A130" s="25" t="s">
        <v>2662</v>
      </c>
      <c r="B130" s="25" t="s">
        <v>2466</v>
      </c>
      <c r="C130" s="25" t="s">
        <v>1193</v>
      </c>
      <c r="D130" s="25" t="s">
        <v>2541</v>
      </c>
      <c r="E130" s="30">
        <v>45311.0</v>
      </c>
      <c r="F130" s="30">
        <v>45765.0</v>
      </c>
      <c r="G130" s="39">
        <v>100.0</v>
      </c>
      <c r="H130" s="37">
        <v>3529.0</v>
      </c>
      <c r="I130" s="37">
        <v>2594.0</v>
      </c>
      <c r="J130" s="25" t="s">
        <v>181</v>
      </c>
      <c r="K130" s="25" t="s">
        <v>2515</v>
      </c>
    </row>
    <row r="131" ht="15.75" customHeight="1">
      <c r="A131" s="27" t="s">
        <v>2663</v>
      </c>
      <c r="B131" s="27" t="s">
        <v>2466</v>
      </c>
      <c r="C131" s="27" t="s">
        <v>1461</v>
      </c>
      <c r="D131" s="27" t="s">
        <v>2545</v>
      </c>
      <c r="E131" s="33">
        <v>45308.0</v>
      </c>
      <c r="F131" s="33">
        <v>45757.0</v>
      </c>
      <c r="G131" s="40">
        <v>50.0</v>
      </c>
      <c r="H131" s="38">
        <v>3051.0</v>
      </c>
      <c r="I131" s="38">
        <v>1283.0</v>
      </c>
      <c r="J131" s="27" t="s">
        <v>181</v>
      </c>
      <c r="K131" s="27" t="s">
        <v>2515</v>
      </c>
    </row>
    <row r="132" ht="15.75" customHeight="1">
      <c r="A132" s="25" t="s">
        <v>2664</v>
      </c>
      <c r="B132" s="25" t="s">
        <v>2466</v>
      </c>
      <c r="C132" s="25" t="s">
        <v>1455</v>
      </c>
      <c r="D132" s="25" t="s">
        <v>2548</v>
      </c>
      <c r="E132" s="30">
        <v>45326.0</v>
      </c>
      <c r="F132" s="30">
        <v>45751.0</v>
      </c>
      <c r="G132" s="39">
        <v>75.0</v>
      </c>
      <c r="H132" s="37">
        <v>3167.0</v>
      </c>
      <c r="I132" s="37">
        <v>1821.0</v>
      </c>
      <c r="J132" s="25" t="s">
        <v>181</v>
      </c>
      <c r="K132" s="25" t="s">
        <v>2515</v>
      </c>
    </row>
    <row r="133" ht="15.75" customHeight="1">
      <c r="A133" s="27" t="s">
        <v>2665</v>
      </c>
      <c r="B133" s="27" t="s">
        <v>2466</v>
      </c>
      <c r="C133" s="27" t="s">
        <v>1419</v>
      </c>
      <c r="D133" s="27" t="s">
        <v>2548</v>
      </c>
      <c r="E133" s="33">
        <v>45319.0</v>
      </c>
      <c r="F133" s="33">
        <v>45765.0</v>
      </c>
      <c r="G133" s="40">
        <v>75.0</v>
      </c>
      <c r="H133" s="38">
        <v>4968.0</v>
      </c>
      <c r="I133" s="38">
        <v>1911.0</v>
      </c>
      <c r="J133" s="27" t="s">
        <v>181</v>
      </c>
      <c r="K133" s="27" t="s">
        <v>2531</v>
      </c>
    </row>
    <row r="134" ht="15.75" customHeight="1">
      <c r="A134" s="25" t="s">
        <v>2666</v>
      </c>
      <c r="B134" s="25" t="s">
        <v>2466</v>
      </c>
      <c r="C134" s="25" t="s">
        <v>1367</v>
      </c>
      <c r="D134" s="25" t="s">
        <v>2548</v>
      </c>
      <c r="E134" s="30">
        <v>45309.0</v>
      </c>
      <c r="F134" s="30">
        <v>45756.0</v>
      </c>
      <c r="G134" s="39">
        <v>75.0</v>
      </c>
      <c r="H134" s="37">
        <v>1323.0</v>
      </c>
      <c r="I134" s="37">
        <v>1916.0</v>
      </c>
      <c r="J134" s="25" t="s">
        <v>187</v>
      </c>
      <c r="K134" s="25" t="s">
        <v>2515</v>
      </c>
    </row>
    <row r="135" ht="15.75" customHeight="1">
      <c r="A135" s="27" t="s">
        <v>2667</v>
      </c>
      <c r="B135" s="27" t="s">
        <v>2470</v>
      </c>
      <c r="C135" s="27" t="s">
        <v>475</v>
      </c>
      <c r="D135" s="27" t="s">
        <v>2551</v>
      </c>
      <c r="E135" s="33">
        <v>45089.0</v>
      </c>
      <c r="F135" s="33">
        <v>45421.0</v>
      </c>
      <c r="G135" s="40">
        <v>100.0</v>
      </c>
      <c r="H135" s="38">
        <v>1778.0</v>
      </c>
      <c r="I135" s="38">
        <v>1897.0</v>
      </c>
      <c r="J135" s="27" t="s">
        <v>181</v>
      </c>
      <c r="K135" s="27" t="s">
        <v>2515</v>
      </c>
    </row>
    <row r="136" ht="15.75" customHeight="1">
      <c r="A136" s="25" t="s">
        <v>2668</v>
      </c>
      <c r="B136" s="25" t="s">
        <v>2470</v>
      </c>
      <c r="C136" s="25" t="s">
        <v>571</v>
      </c>
      <c r="D136" s="25" t="s">
        <v>2517</v>
      </c>
      <c r="E136" s="30">
        <v>45083.0</v>
      </c>
      <c r="F136" s="30">
        <v>45433.0</v>
      </c>
      <c r="G136" s="39">
        <v>25.0</v>
      </c>
      <c r="H136" s="37">
        <v>6209.0</v>
      </c>
      <c r="I136" s="37">
        <v>500.0</v>
      </c>
      <c r="J136" s="25" t="s">
        <v>181</v>
      </c>
      <c r="K136" s="25" t="s">
        <v>2520</v>
      </c>
    </row>
    <row r="137" ht="15.75" customHeight="1">
      <c r="A137" s="27" t="s">
        <v>2669</v>
      </c>
      <c r="B137" s="27" t="s">
        <v>2470</v>
      </c>
      <c r="C137" s="27" t="s">
        <v>635</v>
      </c>
      <c r="D137" s="27" t="s">
        <v>2519</v>
      </c>
      <c r="E137" s="33">
        <v>45082.0</v>
      </c>
      <c r="F137" s="33">
        <v>45435.0</v>
      </c>
      <c r="G137" s="40">
        <v>100.0</v>
      </c>
      <c r="H137" s="38">
        <v>3475.0</v>
      </c>
      <c r="I137" s="38">
        <v>2017.0</v>
      </c>
      <c r="J137" s="27" t="s">
        <v>181</v>
      </c>
      <c r="K137" s="27" t="s">
        <v>2531</v>
      </c>
    </row>
    <row r="138" ht="15.75" customHeight="1">
      <c r="A138" s="25" t="s">
        <v>2670</v>
      </c>
      <c r="B138" s="25" t="s">
        <v>2470</v>
      </c>
      <c r="C138" s="25" t="s">
        <v>628</v>
      </c>
      <c r="D138" s="25" t="s">
        <v>2522</v>
      </c>
      <c r="E138" s="30">
        <v>45096.0</v>
      </c>
      <c r="F138" s="30">
        <v>45420.0</v>
      </c>
      <c r="G138" s="39">
        <v>50.0</v>
      </c>
      <c r="H138" s="37">
        <v>1735.0</v>
      </c>
      <c r="I138" s="37">
        <v>926.0</v>
      </c>
      <c r="J138" s="25" t="s">
        <v>181</v>
      </c>
      <c r="K138" s="25" t="s">
        <v>2515</v>
      </c>
    </row>
    <row r="139" ht="15.75" customHeight="1">
      <c r="A139" s="27" t="s">
        <v>2671</v>
      </c>
      <c r="B139" s="27" t="s">
        <v>2470</v>
      </c>
      <c r="C139" s="27" t="s">
        <v>705</v>
      </c>
      <c r="D139" s="27" t="s">
        <v>2524</v>
      </c>
      <c r="E139" s="33">
        <v>45091.0</v>
      </c>
      <c r="F139" s="33">
        <v>45421.0</v>
      </c>
      <c r="G139" s="40">
        <v>50.0</v>
      </c>
      <c r="H139" s="38">
        <v>4086.0</v>
      </c>
      <c r="I139" s="38">
        <v>943.0</v>
      </c>
      <c r="J139" s="27" t="s">
        <v>181</v>
      </c>
      <c r="K139" s="27" t="s">
        <v>2515</v>
      </c>
    </row>
    <row r="140" ht="15.75" customHeight="1">
      <c r="A140" s="25" t="s">
        <v>2672</v>
      </c>
      <c r="B140" s="25" t="s">
        <v>2470</v>
      </c>
      <c r="C140" s="25" t="s">
        <v>786</v>
      </c>
      <c r="D140" s="25" t="s">
        <v>2524</v>
      </c>
      <c r="E140" s="30">
        <v>45086.0</v>
      </c>
      <c r="F140" s="30">
        <v>45413.0</v>
      </c>
      <c r="G140" s="39">
        <v>100.0</v>
      </c>
      <c r="H140" s="37">
        <v>3258.0</v>
      </c>
      <c r="I140" s="37">
        <v>1869.0</v>
      </c>
      <c r="J140" s="25" t="s">
        <v>181</v>
      </c>
      <c r="K140" s="25" t="s">
        <v>2515</v>
      </c>
    </row>
    <row r="141" ht="15.75" customHeight="1">
      <c r="A141" s="27" t="s">
        <v>2673</v>
      </c>
      <c r="B141" s="27" t="s">
        <v>2470</v>
      </c>
      <c r="C141" s="27" t="s">
        <v>849</v>
      </c>
      <c r="D141" s="27" t="s">
        <v>2528</v>
      </c>
      <c r="E141" s="33">
        <v>45080.0</v>
      </c>
      <c r="F141" s="33">
        <v>45413.0</v>
      </c>
      <c r="G141" s="40">
        <v>75.0</v>
      </c>
      <c r="H141" s="38">
        <v>3470.0</v>
      </c>
      <c r="I141" s="38">
        <v>1427.0</v>
      </c>
      <c r="J141" s="27" t="s">
        <v>181</v>
      </c>
      <c r="K141" s="27" t="s">
        <v>2515</v>
      </c>
    </row>
    <row r="142" ht="15.75" customHeight="1">
      <c r="A142" s="25" t="s">
        <v>2674</v>
      </c>
      <c r="B142" s="25" t="s">
        <v>2470</v>
      </c>
      <c r="C142" s="25" t="s">
        <v>855</v>
      </c>
      <c r="D142" s="25" t="s">
        <v>2528</v>
      </c>
      <c r="E142" s="30">
        <v>45085.0</v>
      </c>
      <c r="F142" s="30">
        <v>45413.0</v>
      </c>
      <c r="G142" s="39">
        <v>25.0</v>
      </c>
      <c r="H142" s="37">
        <v>1122.0</v>
      </c>
      <c r="I142" s="37">
        <v>469.0</v>
      </c>
      <c r="J142" s="25" t="s">
        <v>181</v>
      </c>
      <c r="K142" s="25" t="s">
        <v>2531</v>
      </c>
    </row>
    <row r="143" ht="15.75" customHeight="1">
      <c r="A143" s="27" t="s">
        <v>2675</v>
      </c>
      <c r="B143" s="27" t="s">
        <v>2470</v>
      </c>
      <c r="C143" s="27" t="s">
        <v>935</v>
      </c>
      <c r="D143" s="27" t="s">
        <v>2536</v>
      </c>
      <c r="E143" s="33">
        <v>45093.0</v>
      </c>
      <c r="F143" s="33">
        <v>45418.0</v>
      </c>
      <c r="G143" s="40">
        <v>75.0</v>
      </c>
      <c r="H143" s="38">
        <v>3127.0</v>
      </c>
      <c r="I143" s="38">
        <v>1393.0</v>
      </c>
      <c r="J143" s="27" t="s">
        <v>181</v>
      </c>
      <c r="K143" s="27" t="s">
        <v>2520</v>
      </c>
    </row>
    <row r="144" ht="15.75" customHeight="1">
      <c r="A144" s="25" t="s">
        <v>2676</v>
      </c>
      <c r="B144" s="25" t="s">
        <v>2470</v>
      </c>
      <c r="C144" s="25" t="s">
        <v>957</v>
      </c>
      <c r="D144" s="25" t="s">
        <v>2561</v>
      </c>
      <c r="E144" s="30">
        <v>45094.0</v>
      </c>
      <c r="F144" s="30">
        <v>45422.0</v>
      </c>
      <c r="G144" s="39">
        <v>50.0</v>
      </c>
      <c r="H144" s="37">
        <v>2815.0</v>
      </c>
      <c r="I144" s="37">
        <v>937.0</v>
      </c>
      <c r="J144" s="25" t="s">
        <v>181</v>
      </c>
      <c r="K144" s="25" t="s">
        <v>2520</v>
      </c>
    </row>
    <row r="145" ht="15.75" customHeight="1">
      <c r="A145" s="27" t="s">
        <v>2677</v>
      </c>
      <c r="B145" s="27" t="s">
        <v>2470</v>
      </c>
      <c r="C145" s="27" t="s">
        <v>1018</v>
      </c>
      <c r="D145" s="27" t="s">
        <v>2533</v>
      </c>
      <c r="E145" s="33">
        <v>45097.0</v>
      </c>
      <c r="F145" s="33">
        <v>45437.0</v>
      </c>
      <c r="G145" s="40">
        <v>25.0</v>
      </c>
      <c r="H145" s="38">
        <v>2503.0</v>
      </c>
      <c r="I145" s="38">
        <v>486.0</v>
      </c>
      <c r="J145" s="27" t="s">
        <v>181</v>
      </c>
      <c r="K145" s="27" t="s">
        <v>2520</v>
      </c>
    </row>
    <row r="146" ht="15.75" customHeight="1">
      <c r="A146" s="25" t="s">
        <v>2678</v>
      </c>
      <c r="B146" s="25" t="s">
        <v>2470</v>
      </c>
      <c r="C146" s="25" t="s">
        <v>1147</v>
      </c>
      <c r="D146" s="25" t="s">
        <v>2538</v>
      </c>
      <c r="E146" s="30">
        <v>45101.0</v>
      </c>
      <c r="F146" s="30">
        <v>45432.0</v>
      </c>
      <c r="G146" s="39">
        <v>100.0</v>
      </c>
      <c r="H146" s="37">
        <v>3751.0</v>
      </c>
      <c r="I146" s="37">
        <v>1891.0</v>
      </c>
      <c r="J146" s="25" t="s">
        <v>181</v>
      </c>
      <c r="K146" s="25" t="s">
        <v>2515</v>
      </c>
    </row>
    <row r="147" ht="15.75" customHeight="1">
      <c r="A147" s="27" t="s">
        <v>2679</v>
      </c>
      <c r="B147" s="27" t="s">
        <v>2470</v>
      </c>
      <c r="C147" s="27" t="s">
        <v>1180</v>
      </c>
      <c r="D147" s="27" t="s">
        <v>2538</v>
      </c>
      <c r="E147" s="33">
        <v>45108.0</v>
      </c>
      <c r="F147" s="33">
        <v>45438.0</v>
      </c>
      <c r="G147" s="40">
        <v>25.0</v>
      </c>
      <c r="H147" s="38">
        <v>3351.0</v>
      </c>
      <c r="I147" s="38">
        <v>471.0</v>
      </c>
      <c r="J147" s="27" t="s">
        <v>181</v>
      </c>
      <c r="K147" s="27" t="s">
        <v>2515</v>
      </c>
    </row>
    <row r="148" ht="15.75" customHeight="1">
      <c r="A148" s="25" t="s">
        <v>2680</v>
      </c>
      <c r="B148" s="25" t="s">
        <v>2470</v>
      </c>
      <c r="C148" s="25" t="s">
        <v>1122</v>
      </c>
      <c r="D148" s="25" t="s">
        <v>2538</v>
      </c>
      <c r="E148" s="30">
        <v>45089.0</v>
      </c>
      <c r="F148" s="30">
        <v>45417.0</v>
      </c>
      <c r="G148" s="39">
        <v>50.0</v>
      </c>
      <c r="H148" s="37">
        <v>1534.0</v>
      </c>
      <c r="I148" s="37">
        <v>937.0</v>
      </c>
      <c r="J148" s="25" t="s">
        <v>181</v>
      </c>
      <c r="K148" s="25" t="s">
        <v>2531</v>
      </c>
    </row>
    <row r="149" ht="15.75" customHeight="1">
      <c r="A149" s="27" t="s">
        <v>2681</v>
      </c>
      <c r="B149" s="27" t="s">
        <v>2470</v>
      </c>
      <c r="C149" s="27" t="s">
        <v>1262</v>
      </c>
      <c r="D149" s="27" t="s">
        <v>2543</v>
      </c>
      <c r="E149" s="33">
        <v>45083.0</v>
      </c>
      <c r="F149" s="33">
        <v>45432.0</v>
      </c>
      <c r="G149" s="40">
        <v>100.0</v>
      </c>
      <c r="H149" s="38">
        <v>2881.0</v>
      </c>
      <c r="I149" s="38">
        <v>1994.0</v>
      </c>
      <c r="J149" s="27" t="s">
        <v>181</v>
      </c>
      <c r="K149" s="27" t="s">
        <v>2520</v>
      </c>
    </row>
    <row r="150" ht="15.75" customHeight="1">
      <c r="A150" s="25" t="s">
        <v>2682</v>
      </c>
      <c r="B150" s="25" t="s">
        <v>2470</v>
      </c>
      <c r="C150" s="25" t="s">
        <v>1473</v>
      </c>
      <c r="D150" s="25" t="s">
        <v>2548</v>
      </c>
      <c r="E150" s="30">
        <v>45093.0</v>
      </c>
      <c r="F150" s="30">
        <v>45434.0</v>
      </c>
      <c r="G150" s="39">
        <v>25.0</v>
      </c>
      <c r="H150" s="37">
        <v>2018.0</v>
      </c>
      <c r="I150" s="37">
        <v>487.0</v>
      </c>
      <c r="J150" s="25" t="s">
        <v>187</v>
      </c>
      <c r="K150" s="25" t="s">
        <v>2515</v>
      </c>
    </row>
    <row r="151" ht="15.75" customHeight="1">
      <c r="A151" s="27" t="s">
        <v>2683</v>
      </c>
      <c r="B151" s="27" t="s">
        <v>2470</v>
      </c>
      <c r="C151" s="27" t="s">
        <v>1312</v>
      </c>
      <c r="D151" s="27" t="s">
        <v>2545</v>
      </c>
      <c r="E151" s="33">
        <v>45107.0</v>
      </c>
      <c r="F151" s="33">
        <v>45414.0</v>
      </c>
      <c r="G151" s="40">
        <v>50.0</v>
      </c>
      <c r="H151" s="38">
        <v>4677.0</v>
      </c>
      <c r="I151" s="38">
        <v>877.0</v>
      </c>
      <c r="J151" s="27" t="s">
        <v>181</v>
      </c>
      <c r="K151" s="27" t="s">
        <v>2520</v>
      </c>
    </row>
    <row r="152" ht="15.75" customHeight="1">
      <c r="A152" s="25" t="s">
        <v>2684</v>
      </c>
      <c r="B152" s="25" t="s">
        <v>2470</v>
      </c>
      <c r="C152" s="25" t="s">
        <v>1324</v>
      </c>
      <c r="D152" s="25" t="s">
        <v>2548</v>
      </c>
      <c r="E152" s="30">
        <v>45105.0</v>
      </c>
      <c r="F152" s="30">
        <v>45428.0</v>
      </c>
      <c r="G152" s="39">
        <v>100.0</v>
      </c>
      <c r="H152" s="37">
        <v>4548.0</v>
      </c>
      <c r="I152" s="37">
        <v>1846.0</v>
      </c>
      <c r="J152" s="25" t="s">
        <v>187</v>
      </c>
      <c r="K152" s="25" t="s">
        <v>2531</v>
      </c>
    </row>
    <row r="153" ht="15.75" customHeight="1">
      <c r="A153" s="27" t="s">
        <v>2685</v>
      </c>
      <c r="B153" s="27" t="s">
        <v>2470</v>
      </c>
      <c r="C153" s="27" t="s">
        <v>1393</v>
      </c>
      <c r="D153" s="27" t="s">
        <v>2545</v>
      </c>
      <c r="E153" s="33">
        <v>45081.0</v>
      </c>
      <c r="F153" s="33">
        <v>45443.0</v>
      </c>
      <c r="G153" s="40">
        <v>75.0</v>
      </c>
      <c r="H153" s="38">
        <v>2053.0</v>
      </c>
      <c r="I153" s="38">
        <v>1551.0</v>
      </c>
      <c r="J153" s="27" t="s">
        <v>181</v>
      </c>
      <c r="K153" s="27" t="s">
        <v>2515</v>
      </c>
    </row>
    <row r="154" ht="15.75" customHeight="1">
      <c r="A154" s="25" t="s">
        <v>2686</v>
      </c>
      <c r="B154" s="25" t="s">
        <v>2475</v>
      </c>
      <c r="C154" s="25" t="s">
        <v>506</v>
      </c>
      <c r="D154" s="25" t="s">
        <v>2514</v>
      </c>
      <c r="E154" s="30">
        <v>45361.0</v>
      </c>
      <c r="F154" s="30">
        <v>45919.0</v>
      </c>
      <c r="G154" s="39">
        <v>100.0</v>
      </c>
      <c r="H154" s="37">
        <v>3642.0</v>
      </c>
      <c r="I154" s="37">
        <v>3189.0</v>
      </c>
      <c r="J154" s="25" t="s">
        <v>181</v>
      </c>
      <c r="K154" s="25" t="s">
        <v>2515</v>
      </c>
    </row>
    <row r="155" ht="15.75" customHeight="1">
      <c r="A155" s="27" t="s">
        <v>2687</v>
      </c>
      <c r="B155" s="27" t="s">
        <v>2475</v>
      </c>
      <c r="C155" s="27" t="s">
        <v>571</v>
      </c>
      <c r="D155" s="27" t="s">
        <v>2517</v>
      </c>
      <c r="E155" s="33">
        <v>45373.0</v>
      </c>
      <c r="F155" s="33">
        <v>45904.0</v>
      </c>
      <c r="G155" s="40">
        <v>25.0</v>
      </c>
      <c r="H155" s="38">
        <v>6739.0</v>
      </c>
      <c r="I155" s="38">
        <v>759.0</v>
      </c>
      <c r="J155" s="27" t="s">
        <v>181</v>
      </c>
      <c r="K155" s="27" t="s">
        <v>2515</v>
      </c>
    </row>
    <row r="156" ht="15.75" customHeight="1">
      <c r="A156" s="25" t="s">
        <v>2688</v>
      </c>
      <c r="B156" s="25" t="s">
        <v>2475</v>
      </c>
      <c r="C156" s="25" t="s">
        <v>597</v>
      </c>
      <c r="D156" s="25" t="s">
        <v>2519</v>
      </c>
      <c r="E156" s="30">
        <v>45379.0</v>
      </c>
      <c r="F156" s="30">
        <v>45908.0</v>
      </c>
      <c r="G156" s="39">
        <v>25.0</v>
      </c>
      <c r="H156" s="37">
        <v>2863.0</v>
      </c>
      <c r="I156" s="37">
        <v>756.0</v>
      </c>
      <c r="J156" s="25" t="s">
        <v>181</v>
      </c>
      <c r="K156" s="25" t="s">
        <v>2531</v>
      </c>
    </row>
    <row r="157" ht="15.75" customHeight="1">
      <c r="A157" s="27" t="s">
        <v>2689</v>
      </c>
      <c r="B157" s="27" t="s">
        <v>2475</v>
      </c>
      <c r="C157" s="27" t="s">
        <v>605</v>
      </c>
      <c r="D157" s="27" t="s">
        <v>2522</v>
      </c>
      <c r="E157" s="33">
        <v>45375.0</v>
      </c>
      <c r="F157" s="33">
        <v>45920.0</v>
      </c>
      <c r="G157" s="40">
        <v>50.0</v>
      </c>
      <c r="H157" s="38">
        <v>3047.0</v>
      </c>
      <c r="I157" s="38">
        <v>1557.0</v>
      </c>
      <c r="J157" s="27" t="s">
        <v>181</v>
      </c>
      <c r="K157" s="27" t="s">
        <v>2520</v>
      </c>
    </row>
    <row r="158" ht="15.75" customHeight="1">
      <c r="A158" s="25" t="s">
        <v>2690</v>
      </c>
      <c r="B158" s="25" t="s">
        <v>2475</v>
      </c>
      <c r="C158" s="25" t="s">
        <v>737</v>
      </c>
      <c r="D158" s="25" t="s">
        <v>2526</v>
      </c>
      <c r="E158" s="30">
        <v>45360.0</v>
      </c>
      <c r="F158" s="30">
        <v>45927.0</v>
      </c>
      <c r="G158" s="39">
        <v>100.0</v>
      </c>
      <c r="H158" s="37">
        <v>5410.0</v>
      </c>
      <c r="I158" s="37">
        <v>3240.0</v>
      </c>
      <c r="J158" s="25" t="s">
        <v>181</v>
      </c>
      <c r="K158" s="25" t="s">
        <v>2515</v>
      </c>
    </row>
    <row r="159" ht="15.75" customHeight="1">
      <c r="A159" s="27" t="s">
        <v>2691</v>
      </c>
      <c r="B159" s="27" t="s">
        <v>2475</v>
      </c>
      <c r="C159" s="27" t="s">
        <v>744</v>
      </c>
      <c r="D159" s="27" t="s">
        <v>2526</v>
      </c>
      <c r="E159" s="33">
        <v>45376.0</v>
      </c>
      <c r="F159" s="33">
        <v>45902.0</v>
      </c>
      <c r="G159" s="40">
        <v>75.0</v>
      </c>
      <c r="H159" s="38">
        <v>4429.0</v>
      </c>
      <c r="I159" s="38">
        <v>2254.0</v>
      </c>
      <c r="J159" s="27" t="s">
        <v>181</v>
      </c>
      <c r="K159" s="27" t="s">
        <v>2515</v>
      </c>
    </row>
    <row r="160" ht="15.75" customHeight="1">
      <c r="A160" s="25" t="s">
        <v>2692</v>
      </c>
      <c r="B160" s="25" t="s">
        <v>2475</v>
      </c>
      <c r="C160" s="25" t="s">
        <v>843</v>
      </c>
      <c r="D160" s="25" t="s">
        <v>2530</v>
      </c>
      <c r="E160" s="30">
        <v>45355.0</v>
      </c>
      <c r="F160" s="30">
        <v>45905.0</v>
      </c>
      <c r="G160" s="39">
        <v>50.0</v>
      </c>
      <c r="H160" s="37">
        <v>1261.0</v>
      </c>
      <c r="I160" s="37">
        <v>1571.0</v>
      </c>
      <c r="J160" s="25" t="s">
        <v>181</v>
      </c>
      <c r="K160" s="25" t="s">
        <v>2531</v>
      </c>
    </row>
    <row r="161" ht="15.75" customHeight="1">
      <c r="A161" s="27" t="s">
        <v>2693</v>
      </c>
      <c r="B161" s="27" t="s">
        <v>2475</v>
      </c>
      <c r="C161" s="27" t="s">
        <v>815</v>
      </c>
      <c r="D161" s="27" t="s">
        <v>2528</v>
      </c>
      <c r="E161" s="33">
        <v>45378.0</v>
      </c>
      <c r="F161" s="33">
        <v>45920.0</v>
      </c>
      <c r="G161" s="40">
        <v>50.0</v>
      </c>
      <c r="H161" s="38">
        <v>1019.0</v>
      </c>
      <c r="I161" s="38">
        <v>1549.0</v>
      </c>
      <c r="J161" s="27" t="s">
        <v>181</v>
      </c>
      <c r="K161" s="27" t="s">
        <v>2515</v>
      </c>
    </row>
    <row r="162" ht="15.75" customHeight="1">
      <c r="A162" s="25" t="s">
        <v>2694</v>
      </c>
      <c r="B162" s="25" t="s">
        <v>2475</v>
      </c>
      <c r="C162" s="25" t="s">
        <v>1043</v>
      </c>
      <c r="D162" s="25" t="s">
        <v>2536</v>
      </c>
      <c r="E162" s="30">
        <v>45361.0</v>
      </c>
      <c r="F162" s="30">
        <v>45915.0</v>
      </c>
      <c r="G162" s="39">
        <v>100.0</v>
      </c>
      <c r="H162" s="37">
        <v>2817.0</v>
      </c>
      <c r="I162" s="37">
        <v>3166.0</v>
      </c>
      <c r="J162" s="25" t="s">
        <v>181</v>
      </c>
      <c r="K162" s="25" t="s">
        <v>2531</v>
      </c>
    </row>
    <row r="163" ht="15.75" customHeight="1">
      <c r="A163" s="27" t="s">
        <v>2695</v>
      </c>
      <c r="B163" s="27" t="s">
        <v>2475</v>
      </c>
      <c r="C163" s="27" t="s">
        <v>963</v>
      </c>
      <c r="D163" s="27" t="s">
        <v>2533</v>
      </c>
      <c r="E163" s="33">
        <v>45357.0</v>
      </c>
      <c r="F163" s="33">
        <v>45923.0</v>
      </c>
      <c r="G163" s="40">
        <v>50.0</v>
      </c>
      <c r="H163" s="38">
        <v>3863.0</v>
      </c>
      <c r="I163" s="38">
        <v>1617.0</v>
      </c>
      <c r="J163" s="27" t="s">
        <v>181</v>
      </c>
      <c r="K163" s="27" t="s">
        <v>2515</v>
      </c>
    </row>
    <row r="164" ht="15.75" customHeight="1">
      <c r="A164" s="25" t="s">
        <v>2696</v>
      </c>
      <c r="B164" s="25" t="s">
        <v>2475</v>
      </c>
      <c r="C164" s="25" t="s">
        <v>1024</v>
      </c>
      <c r="D164" s="25" t="s">
        <v>2561</v>
      </c>
      <c r="E164" s="30">
        <v>45365.0</v>
      </c>
      <c r="F164" s="30">
        <v>45924.0</v>
      </c>
      <c r="G164" s="39">
        <v>50.0</v>
      </c>
      <c r="H164" s="37">
        <v>3599.0</v>
      </c>
      <c r="I164" s="37">
        <v>1597.0</v>
      </c>
      <c r="J164" s="25" t="s">
        <v>181</v>
      </c>
      <c r="K164" s="25" t="s">
        <v>2515</v>
      </c>
    </row>
    <row r="165" ht="15.75" customHeight="1">
      <c r="A165" s="27" t="s">
        <v>2697</v>
      </c>
      <c r="B165" s="27" t="s">
        <v>2475</v>
      </c>
      <c r="C165" s="27" t="s">
        <v>1122</v>
      </c>
      <c r="D165" s="27" t="s">
        <v>2543</v>
      </c>
      <c r="E165" s="33">
        <v>45379.0</v>
      </c>
      <c r="F165" s="33">
        <v>45912.0</v>
      </c>
      <c r="G165" s="40">
        <v>50.0</v>
      </c>
      <c r="H165" s="38">
        <v>1592.0</v>
      </c>
      <c r="I165" s="38">
        <v>1523.0</v>
      </c>
      <c r="J165" s="27" t="s">
        <v>181</v>
      </c>
      <c r="K165" s="27" t="s">
        <v>2515</v>
      </c>
    </row>
    <row r="166" ht="15.75" customHeight="1">
      <c r="A166" s="25" t="s">
        <v>2698</v>
      </c>
      <c r="B166" s="25" t="s">
        <v>2475</v>
      </c>
      <c r="C166" s="25" t="s">
        <v>1287</v>
      </c>
      <c r="D166" s="25" t="s">
        <v>2543</v>
      </c>
      <c r="E166" s="30">
        <v>45360.0</v>
      </c>
      <c r="F166" s="30">
        <v>45924.0</v>
      </c>
      <c r="G166" s="39">
        <v>50.0</v>
      </c>
      <c r="H166" s="37">
        <v>2485.0</v>
      </c>
      <c r="I166" s="37">
        <v>1611.0</v>
      </c>
      <c r="J166" s="25" t="s">
        <v>181</v>
      </c>
      <c r="K166" s="25" t="s">
        <v>2520</v>
      </c>
    </row>
    <row r="167" ht="15.75" customHeight="1">
      <c r="A167" s="27" t="s">
        <v>2699</v>
      </c>
      <c r="B167" s="27" t="s">
        <v>2475</v>
      </c>
      <c r="C167" s="27" t="s">
        <v>1200</v>
      </c>
      <c r="D167" s="27" t="s">
        <v>2538</v>
      </c>
      <c r="E167" s="33">
        <v>45353.0</v>
      </c>
      <c r="F167" s="33">
        <v>45918.0</v>
      </c>
      <c r="G167" s="40">
        <v>50.0</v>
      </c>
      <c r="H167" s="38">
        <v>1182.0</v>
      </c>
      <c r="I167" s="38">
        <v>1614.0</v>
      </c>
      <c r="J167" s="27" t="s">
        <v>181</v>
      </c>
      <c r="K167" s="27" t="s">
        <v>2515</v>
      </c>
    </row>
    <row r="168" ht="15.75" customHeight="1">
      <c r="A168" s="25" t="s">
        <v>2700</v>
      </c>
      <c r="B168" s="25" t="s">
        <v>2475</v>
      </c>
      <c r="C168" s="25" t="s">
        <v>1102</v>
      </c>
      <c r="D168" s="25" t="s">
        <v>2538</v>
      </c>
      <c r="E168" s="30">
        <v>45365.0</v>
      </c>
      <c r="F168" s="30">
        <v>45915.0</v>
      </c>
      <c r="G168" s="39">
        <v>50.0</v>
      </c>
      <c r="H168" s="37">
        <v>1731.0</v>
      </c>
      <c r="I168" s="37">
        <v>1571.0</v>
      </c>
      <c r="J168" s="25" t="s">
        <v>181</v>
      </c>
      <c r="K168" s="25" t="s">
        <v>2531</v>
      </c>
    </row>
    <row r="169" ht="15.75" customHeight="1">
      <c r="A169" s="27" t="s">
        <v>2701</v>
      </c>
      <c r="B169" s="27" t="s">
        <v>2475</v>
      </c>
      <c r="C169" s="27" t="s">
        <v>1318</v>
      </c>
      <c r="D169" s="27" t="s">
        <v>2548</v>
      </c>
      <c r="E169" s="33">
        <v>45363.0</v>
      </c>
      <c r="F169" s="33">
        <v>45922.0</v>
      </c>
      <c r="G169" s="40">
        <v>75.0</v>
      </c>
      <c r="H169" s="38">
        <v>1262.0</v>
      </c>
      <c r="I169" s="38">
        <v>2396.0</v>
      </c>
      <c r="J169" s="27" t="s">
        <v>181</v>
      </c>
      <c r="K169" s="27" t="s">
        <v>2520</v>
      </c>
    </row>
    <row r="170" ht="15.75" customHeight="1">
      <c r="A170" s="25" t="s">
        <v>2702</v>
      </c>
      <c r="B170" s="25" t="s">
        <v>2475</v>
      </c>
      <c r="C170" s="25" t="s">
        <v>1443</v>
      </c>
      <c r="D170" s="25" t="s">
        <v>2548</v>
      </c>
      <c r="E170" s="30">
        <v>45357.0</v>
      </c>
      <c r="F170" s="30">
        <v>45929.0</v>
      </c>
      <c r="G170" s="39">
        <v>75.0</v>
      </c>
      <c r="H170" s="37">
        <v>4559.0</v>
      </c>
      <c r="I170" s="37">
        <v>2451.0</v>
      </c>
      <c r="J170" s="25" t="s">
        <v>181</v>
      </c>
      <c r="K170" s="25" t="s">
        <v>2531</v>
      </c>
    </row>
    <row r="171" ht="15.75" customHeight="1">
      <c r="A171" s="27" t="s">
        <v>2703</v>
      </c>
      <c r="B171" s="27" t="s">
        <v>2475</v>
      </c>
      <c r="C171" s="27" t="s">
        <v>1425</v>
      </c>
      <c r="D171" s="27" t="s">
        <v>2545</v>
      </c>
      <c r="E171" s="33">
        <v>45360.0</v>
      </c>
      <c r="F171" s="33">
        <v>45901.0</v>
      </c>
      <c r="G171" s="40">
        <v>50.0</v>
      </c>
      <c r="H171" s="38">
        <v>1998.0</v>
      </c>
      <c r="I171" s="38">
        <v>1546.0</v>
      </c>
      <c r="J171" s="27" t="s">
        <v>181</v>
      </c>
      <c r="K171" s="27" t="s">
        <v>2515</v>
      </c>
    </row>
    <row r="172" ht="15.75" customHeight="1">
      <c r="A172" s="25" t="s">
        <v>2704</v>
      </c>
      <c r="B172" s="25" t="s">
        <v>2475</v>
      </c>
      <c r="C172" s="25" t="s">
        <v>1342</v>
      </c>
      <c r="D172" s="25" t="s">
        <v>2545</v>
      </c>
      <c r="E172" s="30">
        <v>45361.0</v>
      </c>
      <c r="F172" s="30">
        <v>45927.0</v>
      </c>
      <c r="G172" s="39">
        <v>100.0</v>
      </c>
      <c r="H172" s="37">
        <v>2327.0</v>
      </c>
      <c r="I172" s="37">
        <v>3234.0</v>
      </c>
      <c r="J172" s="25" t="s">
        <v>187</v>
      </c>
      <c r="K172" s="25" t="s">
        <v>2531</v>
      </c>
    </row>
    <row r="173" ht="15.75" customHeight="1">
      <c r="A173" s="27" t="s">
        <v>2705</v>
      </c>
      <c r="B173" s="27" t="s">
        <v>2479</v>
      </c>
      <c r="C173" s="27" t="s">
        <v>515</v>
      </c>
      <c r="D173" s="27" t="s">
        <v>2514</v>
      </c>
      <c r="E173" s="33">
        <v>45402.0</v>
      </c>
      <c r="F173" s="33">
        <v>45744.0</v>
      </c>
      <c r="G173" s="40">
        <v>50.0</v>
      </c>
      <c r="H173" s="38">
        <v>5097.0</v>
      </c>
      <c r="I173" s="38">
        <v>977.0</v>
      </c>
      <c r="J173" s="27" t="s">
        <v>181</v>
      </c>
      <c r="K173" s="27" t="s">
        <v>2531</v>
      </c>
    </row>
    <row r="174" ht="15.75" customHeight="1">
      <c r="A174" s="25" t="s">
        <v>2706</v>
      </c>
      <c r="B174" s="25" t="s">
        <v>2479</v>
      </c>
      <c r="C174" s="25" t="s">
        <v>544</v>
      </c>
      <c r="D174" s="25" t="s">
        <v>2573</v>
      </c>
      <c r="E174" s="30">
        <v>45412.0</v>
      </c>
      <c r="F174" s="30">
        <v>45744.0</v>
      </c>
      <c r="G174" s="39">
        <v>50.0</v>
      </c>
      <c r="H174" s="37">
        <v>5113.0</v>
      </c>
      <c r="I174" s="37">
        <v>949.0</v>
      </c>
      <c r="J174" s="25" t="s">
        <v>181</v>
      </c>
      <c r="K174" s="25" t="s">
        <v>2531</v>
      </c>
    </row>
    <row r="175" ht="15.75" customHeight="1">
      <c r="A175" s="27" t="s">
        <v>2707</v>
      </c>
      <c r="B175" s="27" t="s">
        <v>2479</v>
      </c>
      <c r="C175" s="27" t="s">
        <v>635</v>
      </c>
      <c r="D175" s="27" t="s">
        <v>2519</v>
      </c>
      <c r="E175" s="33">
        <v>45407.0</v>
      </c>
      <c r="F175" s="33">
        <v>45741.0</v>
      </c>
      <c r="G175" s="40">
        <v>75.0</v>
      </c>
      <c r="H175" s="38">
        <v>4770.0</v>
      </c>
      <c r="I175" s="38">
        <v>1431.0</v>
      </c>
      <c r="J175" s="27" t="s">
        <v>181</v>
      </c>
      <c r="K175" s="27" t="s">
        <v>2515</v>
      </c>
    </row>
    <row r="176" ht="15.75" customHeight="1">
      <c r="A176" s="25" t="s">
        <v>2708</v>
      </c>
      <c r="B176" s="25" t="s">
        <v>2479</v>
      </c>
      <c r="C176" s="25" t="s">
        <v>682</v>
      </c>
      <c r="D176" s="25" t="s">
        <v>2522</v>
      </c>
      <c r="E176" s="30">
        <v>45405.0</v>
      </c>
      <c r="F176" s="30">
        <v>45739.0</v>
      </c>
      <c r="G176" s="39">
        <v>50.0</v>
      </c>
      <c r="H176" s="37">
        <v>3170.0</v>
      </c>
      <c r="I176" s="37">
        <v>954.0</v>
      </c>
      <c r="J176" s="25" t="s">
        <v>181</v>
      </c>
      <c r="K176" s="25" t="s">
        <v>2520</v>
      </c>
    </row>
    <row r="177" ht="15.75" customHeight="1">
      <c r="A177" s="27" t="s">
        <v>2709</v>
      </c>
      <c r="B177" s="27" t="s">
        <v>2479</v>
      </c>
      <c r="C177" s="27" t="s">
        <v>771</v>
      </c>
      <c r="D177" s="27" t="s">
        <v>2524</v>
      </c>
      <c r="E177" s="33">
        <v>45405.0</v>
      </c>
      <c r="F177" s="33">
        <v>45744.0</v>
      </c>
      <c r="G177" s="40">
        <v>75.0</v>
      </c>
      <c r="H177" s="38">
        <v>3006.0</v>
      </c>
      <c r="I177" s="38">
        <v>1453.0</v>
      </c>
      <c r="J177" s="27" t="s">
        <v>187</v>
      </c>
      <c r="K177" s="27" t="s">
        <v>2520</v>
      </c>
    </row>
    <row r="178" ht="15.75" customHeight="1">
      <c r="A178" s="25" t="s">
        <v>2710</v>
      </c>
      <c r="B178" s="25" t="s">
        <v>2479</v>
      </c>
      <c r="C178" s="25" t="s">
        <v>779</v>
      </c>
      <c r="D178" s="25" t="s">
        <v>2524</v>
      </c>
      <c r="E178" s="30">
        <v>45391.0</v>
      </c>
      <c r="F178" s="30">
        <v>45725.0</v>
      </c>
      <c r="G178" s="39">
        <v>25.0</v>
      </c>
      <c r="H178" s="37">
        <v>1681.0</v>
      </c>
      <c r="I178" s="37">
        <v>477.0</v>
      </c>
      <c r="J178" s="25" t="s">
        <v>181</v>
      </c>
      <c r="K178" s="25" t="s">
        <v>2520</v>
      </c>
    </row>
    <row r="179" ht="15.75" customHeight="1">
      <c r="A179" s="27" t="s">
        <v>2711</v>
      </c>
      <c r="B179" s="27" t="s">
        <v>2479</v>
      </c>
      <c r="C179" s="27" t="s">
        <v>875</v>
      </c>
      <c r="D179" s="27" t="s">
        <v>2528</v>
      </c>
      <c r="E179" s="33">
        <v>45395.0</v>
      </c>
      <c r="F179" s="33">
        <v>45732.0</v>
      </c>
      <c r="G179" s="40">
        <v>50.0</v>
      </c>
      <c r="H179" s="38">
        <v>3911.0</v>
      </c>
      <c r="I179" s="38">
        <v>963.0</v>
      </c>
      <c r="J179" s="27" t="s">
        <v>181</v>
      </c>
      <c r="K179" s="27" t="s">
        <v>2515</v>
      </c>
    </row>
    <row r="180" ht="15.75" customHeight="1">
      <c r="A180" s="25" t="s">
        <v>2712</v>
      </c>
      <c r="B180" s="25" t="s">
        <v>2479</v>
      </c>
      <c r="C180" s="25" t="s">
        <v>921</v>
      </c>
      <c r="D180" s="25" t="s">
        <v>2528</v>
      </c>
      <c r="E180" s="30">
        <v>45399.0</v>
      </c>
      <c r="F180" s="30">
        <v>45735.0</v>
      </c>
      <c r="G180" s="39">
        <v>50.0</v>
      </c>
      <c r="H180" s="37">
        <v>2639.0</v>
      </c>
      <c r="I180" s="37">
        <v>960.0</v>
      </c>
      <c r="J180" s="25" t="s">
        <v>181</v>
      </c>
      <c r="K180" s="25" t="s">
        <v>2515</v>
      </c>
    </row>
    <row r="181" ht="15.75" customHeight="1">
      <c r="A181" s="27" t="s">
        <v>2713</v>
      </c>
      <c r="B181" s="27" t="s">
        <v>2479</v>
      </c>
      <c r="C181" s="27" t="s">
        <v>1043</v>
      </c>
      <c r="D181" s="27" t="s">
        <v>2533</v>
      </c>
      <c r="E181" s="33">
        <v>45383.0</v>
      </c>
      <c r="F181" s="33">
        <v>45742.0</v>
      </c>
      <c r="G181" s="40">
        <v>75.0</v>
      </c>
      <c r="H181" s="38">
        <v>1669.0</v>
      </c>
      <c r="I181" s="38">
        <v>1539.0</v>
      </c>
      <c r="J181" s="27" t="s">
        <v>181</v>
      </c>
      <c r="K181" s="27" t="s">
        <v>2515</v>
      </c>
    </row>
    <row r="182" ht="15.75" customHeight="1">
      <c r="A182" s="25" t="s">
        <v>2714</v>
      </c>
      <c r="B182" s="25" t="s">
        <v>2479</v>
      </c>
      <c r="C182" s="25" t="s">
        <v>1063</v>
      </c>
      <c r="D182" s="25" t="s">
        <v>2536</v>
      </c>
      <c r="E182" s="30">
        <v>45406.0</v>
      </c>
      <c r="F182" s="30">
        <v>45731.0</v>
      </c>
      <c r="G182" s="39">
        <v>100.0</v>
      </c>
      <c r="H182" s="37">
        <v>2916.0</v>
      </c>
      <c r="I182" s="37">
        <v>1857.0</v>
      </c>
      <c r="J182" s="25" t="s">
        <v>181</v>
      </c>
      <c r="K182" s="25" t="s">
        <v>2515</v>
      </c>
    </row>
    <row r="183" ht="15.75" customHeight="1">
      <c r="A183" s="27" t="s">
        <v>2715</v>
      </c>
      <c r="B183" s="27" t="s">
        <v>2479</v>
      </c>
      <c r="C183" s="27" t="s">
        <v>1011</v>
      </c>
      <c r="D183" s="27" t="s">
        <v>2561</v>
      </c>
      <c r="E183" s="33">
        <v>45388.0</v>
      </c>
      <c r="F183" s="33">
        <v>45740.0</v>
      </c>
      <c r="G183" s="40">
        <v>75.0</v>
      </c>
      <c r="H183" s="38">
        <v>3119.0</v>
      </c>
      <c r="I183" s="38">
        <v>1509.0</v>
      </c>
      <c r="J183" s="27" t="s">
        <v>181</v>
      </c>
      <c r="K183" s="27" t="s">
        <v>2531</v>
      </c>
    </row>
    <row r="184" ht="15.75" customHeight="1">
      <c r="A184" s="25" t="s">
        <v>2716</v>
      </c>
      <c r="B184" s="25" t="s">
        <v>2479</v>
      </c>
      <c r="C184" s="25" t="s">
        <v>1147</v>
      </c>
      <c r="D184" s="25" t="s">
        <v>2543</v>
      </c>
      <c r="E184" s="30">
        <v>45391.0</v>
      </c>
      <c r="F184" s="30">
        <v>45718.0</v>
      </c>
      <c r="G184" s="39">
        <v>50.0</v>
      </c>
      <c r="H184" s="37">
        <v>4757.0</v>
      </c>
      <c r="I184" s="37">
        <v>934.0</v>
      </c>
      <c r="J184" s="25" t="s">
        <v>181</v>
      </c>
      <c r="K184" s="25" t="s">
        <v>2531</v>
      </c>
    </row>
    <row r="185" ht="15.75" customHeight="1">
      <c r="A185" s="27" t="s">
        <v>2717</v>
      </c>
      <c r="B185" s="27" t="s">
        <v>2479</v>
      </c>
      <c r="C185" s="27" t="s">
        <v>1231</v>
      </c>
      <c r="D185" s="27" t="s">
        <v>2543</v>
      </c>
      <c r="E185" s="33">
        <v>45389.0</v>
      </c>
      <c r="F185" s="33">
        <v>45730.0</v>
      </c>
      <c r="G185" s="40">
        <v>50.0</v>
      </c>
      <c r="H185" s="38">
        <v>4956.0</v>
      </c>
      <c r="I185" s="38">
        <v>974.0</v>
      </c>
      <c r="J185" s="27" t="s">
        <v>181</v>
      </c>
      <c r="K185" s="27" t="s">
        <v>2531</v>
      </c>
    </row>
    <row r="186" ht="15.75" customHeight="1">
      <c r="A186" s="25" t="s">
        <v>2718</v>
      </c>
      <c r="B186" s="25" t="s">
        <v>2479</v>
      </c>
      <c r="C186" s="25" t="s">
        <v>1154</v>
      </c>
      <c r="D186" s="25" t="s">
        <v>2538</v>
      </c>
      <c r="E186" s="30">
        <v>45413.0</v>
      </c>
      <c r="F186" s="30">
        <v>45725.0</v>
      </c>
      <c r="G186" s="39">
        <v>75.0</v>
      </c>
      <c r="H186" s="37">
        <v>2163.0</v>
      </c>
      <c r="I186" s="37">
        <v>1337.0</v>
      </c>
      <c r="J186" s="25" t="s">
        <v>181</v>
      </c>
      <c r="K186" s="25" t="s">
        <v>2520</v>
      </c>
    </row>
    <row r="187" ht="15.75" customHeight="1">
      <c r="A187" s="27" t="s">
        <v>2719</v>
      </c>
      <c r="B187" s="27" t="s">
        <v>2479</v>
      </c>
      <c r="C187" s="27" t="s">
        <v>1141</v>
      </c>
      <c r="D187" s="27" t="s">
        <v>2543</v>
      </c>
      <c r="E187" s="33">
        <v>45392.0</v>
      </c>
      <c r="F187" s="33">
        <v>45737.0</v>
      </c>
      <c r="G187" s="40">
        <v>100.0</v>
      </c>
      <c r="H187" s="38">
        <v>4573.0</v>
      </c>
      <c r="I187" s="38">
        <v>1971.0</v>
      </c>
      <c r="J187" s="27" t="s">
        <v>181</v>
      </c>
      <c r="K187" s="27" t="s">
        <v>2520</v>
      </c>
    </row>
    <row r="188" ht="15.75" customHeight="1">
      <c r="A188" s="25" t="s">
        <v>2720</v>
      </c>
      <c r="B188" s="25" t="s">
        <v>2479</v>
      </c>
      <c r="C188" s="25" t="s">
        <v>1406</v>
      </c>
      <c r="D188" s="25" t="s">
        <v>2548</v>
      </c>
      <c r="E188" s="30">
        <v>45413.0</v>
      </c>
      <c r="F188" s="30">
        <v>45739.0</v>
      </c>
      <c r="G188" s="39">
        <v>75.0</v>
      </c>
      <c r="H188" s="37">
        <v>1721.0</v>
      </c>
      <c r="I188" s="37">
        <v>1397.0</v>
      </c>
      <c r="J188" s="25" t="s">
        <v>181</v>
      </c>
      <c r="K188" s="25" t="s">
        <v>2531</v>
      </c>
    </row>
    <row r="189" ht="15.75" customHeight="1">
      <c r="A189" s="27" t="s">
        <v>2721</v>
      </c>
      <c r="B189" s="27" t="s">
        <v>2479</v>
      </c>
      <c r="C189" s="27" t="s">
        <v>1367</v>
      </c>
      <c r="D189" s="27" t="s">
        <v>2548</v>
      </c>
      <c r="E189" s="33">
        <v>45391.0</v>
      </c>
      <c r="F189" s="33">
        <v>45720.0</v>
      </c>
      <c r="G189" s="40">
        <v>100.0</v>
      </c>
      <c r="H189" s="38">
        <v>4772.0</v>
      </c>
      <c r="I189" s="38">
        <v>1880.0</v>
      </c>
      <c r="J189" s="27" t="s">
        <v>181</v>
      </c>
      <c r="K189" s="27" t="s">
        <v>2515</v>
      </c>
    </row>
    <row r="190" ht="15.75" customHeight="1">
      <c r="A190" s="25" t="s">
        <v>2722</v>
      </c>
      <c r="B190" s="25" t="s">
        <v>2479</v>
      </c>
      <c r="C190" s="25" t="s">
        <v>1306</v>
      </c>
      <c r="D190" s="25" t="s">
        <v>2548</v>
      </c>
      <c r="E190" s="30">
        <v>45391.0</v>
      </c>
      <c r="F190" s="30">
        <v>45741.0</v>
      </c>
      <c r="G190" s="39">
        <v>100.0</v>
      </c>
      <c r="H190" s="37">
        <v>1727.0</v>
      </c>
      <c r="I190" s="37">
        <v>2000.0</v>
      </c>
      <c r="J190" s="25" t="s">
        <v>181</v>
      </c>
      <c r="K190" s="25" t="s">
        <v>2515</v>
      </c>
    </row>
    <row r="191" ht="15.75" customHeight="1">
      <c r="A191" s="27" t="s">
        <v>2723</v>
      </c>
      <c r="B191" s="27" t="s">
        <v>2479</v>
      </c>
      <c r="C191" s="27" t="s">
        <v>1467</v>
      </c>
      <c r="D191" s="27" t="s">
        <v>2545</v>
      </c>
      <c r="E191" s="33">
        <v>45406.0</v>
      </c>
      <c r="F191" s="33">
        <v>45724.0</v>
      </c>
      <c r="G191" s="40">
        <v>50.0</v>
      </c>
      <c r="H191" s="38">
        <v>2673.0</v>
      </c>
      <c r="I191" s="38">
        <v>909.0</v>
      </c>
      <c r="J191" s="27" t="s">
        <v>181</v>
      </c>
      <c r="K191" s="27" t="s">
        <v>2515</v>
      </c>
    </row>
    <row r="192" ht="15.75" customHeight="1">
      <c r="A192" s="25" t="s">
        <v>2724</v>
      </c>
      <c r="B192" s="25" t="s">
        <v>2483</v>
      </c>
      <c r="C192" s="25" t="s">
        <v>506</v>
      </c>
      <c r="D192" s="25" t="s">
        <v>2551</v>
      </c>
      <c r="E192" s="30">
        <v>45141.0</v>
      </c>
      <c r="F192" s="30">
        <v>45460.0</v>
      </c>
      <c r="G192" s="39">
        <v>50.0</v>
      </c>
      <c r="H192" s="37">
        <v>1616.0</v>
      </c>
      <c r="I192" s="37">
        <v>911.0</v>
      </c>
      <c r="J192" s="25" t="s">
        <v>181</v>
      </c>
      <c r="K192" s="25" t="s">
        <v>2515</v>
      </c>
    </row>
    <row r="193" ht="15.75" customHeight="1">
      <c r="A193" s="27" t="s">
        <v>2725</v>
      </c>
      <c r="B193" s="27" t="s">
        <v>2483</v>
      </c>
      <c r="C193" s="27" t="s">
        <v>535</v>
      </c>
      <c r="D193" s="27" t="s">
        <v>2517</v>
      </c>
      <c r="E193" s="33">
        <v>45143.0</v>
      </c>
      <c r="F193" s="33">
        <v>45450.0</v>
      </c>
      <c r="G193" s="40">
        <v>25.0</v>
      </c>
      <c r="H193" s="38">
        <v>5225.0</v>
      </c>
      <c r="I193" s="38">
        <v>439.0</v>
      </c>
      <c r="J193" s="27" t="s">
        <v>187</v>
      </c>
      <c r="K193" s="27" t="s">
        <v>2515</v>
      </c>
    </row>
    <row r="194" ht="15.75" customHeight="1">
      <c r="A194" s="25" t="s">
        <v>2726</v>
      </c>
      <c r="B194" s="25" t="s">
        <v>2483</v>
      </c>
      <c r="C194" s="25" t="s">
        <v>651</v>
      </c>
      <c r="D194" s="25" t="s">
        <v>2522</v>
      </c>
      <c r="E194" s="30">
        <v>45142.0</v>
      </c>
      <c r="F194" s="30">
        <v>45447.0</v>
      </c>
      <c r="G194" s="39">
        <v>100.0</v>
      </c>
      <c r="H194" s="37">
        <v>2992.0</v>
      </c>
      <c r="I194" s="37">
        <v>1743.0</v>
      </c>
      <c r="J194" s="25" t="s">
        <v>181</v>
      </c>
      <c r="K194" s="25" t="s">
        <v>2531</v>
      </c>
    </row>
    <row r="195" ht="15.75" customHeight="1">
      <c r="A195" s="27" t="s">
        <v>2727</v>
      </c>
      <c r="B195" s="27" t="s">
        <v>2483</v>
      </c>
      <c r="C195" s="27" t="s">
        <v>613</v>
      </c>
      <c r="D195" s="27" t="s">
        <v>2522</v>
      </c>
      <c r="E195" s="33">
        <v>45141.0</v>
      </c>
      <c r="F195" s="33">
        <v>45465.0</v>
      </c>
      <c r="G195" s="40">
        <v>50.0</v>
      </c>
      <c r="H195" s="38">
        <v>2285.0</v>
      </c>
      <c r="I195" s="38">
        <v>926.0</v>
      </c>
      <c r="J195" s="27" t="s">
        <v>181</v>
      </c>
      <c r="K195" s="27" t="s">
        <v>2531</v>
      </c>
    </row>
    <row r="196" ht="15.75" customHeight="1">
      <c r="A196" s="25" t="s">
        <v>2728</v>
      </c>
      <c r="B196" s="25" t="s">
        <v>2483</v>
      </c>
      <c r="C196" s="25" t="s">
        <v>744</v>
      </c>
      <c r="D196" s="25" t="s">
        <v>2526</v>
      </c>
      <c r="E196" s="30">
        <v>45142.0</v>
      </c>
      <c r="F196" s="30">
        <v>45456.0</v>
      </c>
      <c r="G196" s="39">
        <v>25.0</v>
      </c>
      <c r="H196" s="37">
        <v>5401.0</v>
      </c>
      <c r="I196" s="37">
        <v>449.0</v>
      </c>
      <c r="J196" s="25" t="s">
        <v>181</v>
      </c>
      <c r="K196" s="25" t="s">
        <v>2515</v>
      </c>
    </row>
    <row r="197" ht="15.75" customHeight="1">
      <c r="A197" s="27" t="s">
        <v>2729</v>
      </c>
      <c r="B197" s="27" t="s">
        <v>2483</v>
      </c>
      <c r="C197" s="27" t="s">
        <v>705</v>
      </c>
      <c r="D197" s="27" t="s">
        <v>2526</v>
      </c>
      <c r="E197" s="33">
        <v>45163.0</v>
      </c>
      <c r="F197" s="33">
        <v>45455.0</v>
      </c>
      <c r="G197" s="40">
        <v>50.0</v>
      </c>
      <c r="H197" s="38">
        <v>1551.0</v>
      </c>
      <c r="I197" s="38">
        <v>834.0</v>
      </c>
      <c r="J197" s="27" t="s">
        <v>181</v>
      </c>
      <c r="K197" s="27" t="s">
        <v>2520</v>
      </c>
    </row>
    <row r="198" ht="15.75" customHeight="1">
      <c r="A198" s="25" t="s">
        <v>2730</v>
      </c>
      <c r="B198" s="25" t="s">
        <v>2483</v>
      </c>
      <c r="C198" s="25" t="s">
        <v>837</v>
      </c>
      <c r="D198" s="25" t="s">
        <v>2530</v>
      </c>
      <c r="E198" s="30">
        <v>45146.0</v>
      </c>
      <c r="F198" s="30">
        <v>45472.0</v>
      </c>
      <c r="G198" s="39">
        <v>75.0</v>
      </c>
      <c r="H198" s="37">
        <v>2811.0</v>
      </c>
      <c r="I198" s="37">
        <v>1397.0</v>
      </c>
      <c r="J198" s="25" t="s">
        <v>181</v>
      </c>
      <c r="K198" s="25" t="s">
        <v>2515</v>
      </c>
    </row>
    <row r="199" ht="15.75" customHeight="1">
      <c r="A199" s="27" t="s">
        <v>2731</v>
      </c>
      <c r="B199" s="27" t="s">
        <v>2483</v>
      </c>
      <c r="C199" s="27" t="s">
        <v>843</v>
      </c>
      <c r="D199" s="27" t="s">
        <v>2528</v>
      </c>
      <c r="E199" s="33">
        <v>45142.0</v>
      </c>
      <c r="F199" s="33">
        <v>45456.0</v>
      </c>
      <c r="G199" s="40">
        <v>25.0</v>
      </c>
      <c r="H199" s="38">
        <v>4265.0</v>
      </c>
      <c r="I199" s="38">
        <v>449.0</v>
      </c>
      <c r="J199" s="27" t="s">
        <v>181</v>
      </c>
      <c r="K199" s="27" t="s">
        <v>2515</v>
      </c>
    </row>
    <row r="200" ht="15.75" customHeight="1">
      <c r="A200" s="25" t="s">
        <v>2732</v>
      </c>
      <c r="B200" s="25" t="s">
        <v>2483</v>
      </c>
      <c r="C200" s="25" t="s">
        <v>1056</v>
      </c>
      <c r="D200" s="25" t="s">
        <v>2561</v>
      </c>
      <c r="E200" s="30">
        <v>45146.0</v>
      </c>
      <c r="F200" s="30">
        <v>45473.0</v>
      </c>
      <c r="G200" s="39">
        <v>50.0</v>
      </c>
      <c r="H200" s="37">
        <v>805.0</v>
      </c>
      <c r="I200" s="37">
        <v>934.0</v>
      </c>
      <c r="J200" s="25" t="s">
        <v>181</v>
      </c>
      <c r="K200" s="25" t="s">
        <v>2515</v>
      </c>
    </row>
    <row r="201" ht="15.75" customHeight="1">
      <c r="A201" s="27" t="s">
        <v>2733</v>
      </c>
      <c r="B201" s="27" t="s">
        <v>2483</v>
      </c>
      <c r="C201" s="27" t="s">
        <v>1037</v>
      </c>
      <c r="D201" s="27" t="s">
        <v>2561</v>
      </c>
      <c r="E201" s="33">
        <v>45167.0</v>
      </c>
      <c r="F201" s="33">
        <v>45452.0</v>
      </c>
      <c r="G201" s="40">
        <v>75.0</v>
      </c>
      <c r="H201" s="38">
        <v>1749.0</v>
      </c>
      <c r="I201" s="38">
        <v>1221.0</v>
      </c>
      <c r="J201" s="27" t="s">
        <v>181</v>
      </c>
      <c r="K201" s="27" t="s">
        <v>2515</v>
      </c>
    </row>
    <row r="202" ht="15.75" customHeight="1">
      <c r="A202" s="25" t="s">
        <v>2734</v>
      </c>
      <c r="B202" s="25" t="s">
        <v>2483</v>
      </c>
      <c r="C202" s="25" t="s">
        <v>1089</v>
      </c>
      <c r="D202" s="25" t="s">
        <v>2536</v>
      </c>
      <c r="E202" s="30">
        <v>45142.0</v>
      </c>
      <c r="F202" s="30">
        <v>45466.0</v>
      </c>
      <c r="G202" s="39">
        <v>100.0</v>
      </c>
      <c r="H202" s="37">
        <v>1512.0</v>
      </c>
      <c r="I202" s="37">
        <v>1851.0</v>
      </c>
      <c r="J202" s="25" t="s">
        <v>181</v>
      </c>
      <c r="K202" s="25" t="s">
        <v>2531</v>
      </c>
    </row>
    <row r="203" ht="15.75" customHeight="1">
      <c r="A203" s="27" t="s">
        <v>2735</v>
      </c>
      <c r="B203" s="27" t="s">
        <v>2483</v>
      </c>
      <c r="C203" s="27" t="s">
        <v>1134</v>
      </c>
      <c r="D203" s="27" t="s">
        <v>2541</v>
      </c>
      <c r="E203" s="33">
        <v>45142.0</v>
      </c>
      <c r="F203" s="33">
        <v>45462.0</v>
      </c>
      <c r="G203" s="40">
        <v>25.0</v>
      </c>
      <c r="H203" s="38">
        <v>3386.0</v>
      </c>
      <c r="I203" s="38">
        <v>457.0</v>
      </c>
      <c r="J203" s="27" t="s">
        <v>181</v>
      </c>
      <c r="K203" s="27" t="s">
        <v>2520</v>
      </c>
    </row>
    <row r="204" ht="15.75" customHeight="1">
      <c r="A204" s="25" t="s">
        <v>2736</v>
      </c>
      <c r="B204" s="25" t="s">
        <v>2483</v>
      </c>
      <c r="C204" s="25" t="s">
        <v>1231</v>
      </c>
      <c r="D204" s="25" t="s">
        <v>2543</v>
      </c>
      <c r="E204" s="30">
        <v>45155.0</v>
      </c>
      <c r="F204" s="30">
        <v>45463.0</v>
      </c>
      <c r="G204" s="39">
        <v>50.0</v>
      </c>
      <c r="H204" s="37">
        <v>1548.0</v>
      </c>
      <c r="I204" s="37">
        <v>880.0</v>
      </c>
      <c r="J204" s="25" t="s">
        <v>181</v>
      </c>
      <c r="K204" s="25" t="s">
        <v>2515</v>
      </c>
    </row>
    <row r="205" ht="15.75" customHeight="1">
      <c r="A205" s="27" t="s">
        <v>2737</v>
      </c>
      <c r="B205" s="27" t="s">
        <v>2483</v>
      </c>
      <c r="C205" s="27" t="s">
        <v>1160</v>
      </c>
      <c r="D205" s="27" t="s">
        <v>2543</v>
      </c>
      <c r="E205" s="33">
        <v>45148.0</v>
      </c>
      <c r="F205" s="33">
        <v>45462.0</v>
      </c>
      <c r="G205" s="40">
        <v>75.0</v>
      </c>
      <c r="H205" s="38">
        <v>3424.0</v>
      </c>
      <c r="I205" s="38">
        <v>1346.0</v>
      </c>
      <c r="J205" s="27" t="s">
        <v>181</v>
      </c>
      <c r="K205" s="27" t="s">
        <v>2520</v>
      </c>
    </row>
    <row r="206" ht="15.75" customHeight="1">
      <c r="A206" s="25" t="s">
        <v>2738</v>
      </c>
      <c r="B206" s="25" t="s">
        <v>2483</v>
      </c>
      <c r="C206" s="25" t="s">
        <v>1102</v>
      </c>
      <c r="D206" s="25" t="s">
        <v>2541</v>
      </c>
      <c r="E206" s="30">
        <v>45164.0</v>
      </c>
      <c r="F206" s="30">
        <v>45444.0</v>
      </c>
      <c r="G206" s="39">
        <v>75.0</v>
      </c>
      <c r="H206" s="37">
        <v>4718.0</v>
      </c>
      <c r="I206" s="37">
        <v>1200.0</v>
      </c>
      <c r="J206" s="25" t="s">
        <v>187</v>
      </c>
      <c r="K206" s="25" t="s">
        <v>2515</v>
      </c>
    </row>
    <row r="207" ht="15.75" customHeight="1">
      <c r="A207" s="27" t="s">
        <v>2739</v>
      </c>
      <c r="B207" s="27" t="s">
        <v>2483</v>
      </c>
      <c r="C207" s="27" t="s">
        <v>1348</v>
      </c>
      <c r="D207" s="27" t="s">
        <v>2548</v>
      </c>
      <c r="E207" s="33">
        <v>45143.0</v>
      </c>
      <c r="F207" s="33">
        <v>45463.0</v>
      </c>
      <c r="G207" s="40">
        <v>50.0</v>
      </c>
      <c r="H207" s="38">
        <v>4067.0</v>
      </c>
      <c r="I207" s="38">
        <v>914.0</v>
      </c>
      <c r="J207" s="27" t="s">
        <v>181</v>
      </c>
      <c r="K207" s="27" t="s">
        <v>2531</v>
      </c>
    </row>
    <row r="208" ht="15.75" customHeight="1">
      <c r="A208" s="25" t="s">
        <v>2740</v>
      </c>
      <c r="B208" s="25" t="s">
        <v>2483</v>
      </c>
      <c r="C208" s="25" t="s">
        <v>1324</v>
      </c>
      <c r="D208" s="25" t="s">
        <v>2545</v>
      </c>
      <c r="E208" s="30">
        <v>45152.0</v>
      </c>
      <c r="F208" s="30">
        <v>45443.0</v>
      </c>
      <c r="G208" s="39">
        <v>25.0</v>
      </c>
      <c r="H208" s="37">
        <v>1275.0</v>
      </c>
      <c r="I208" s="37">
        <v>416.0</v>
      </c>
      <c r="J208" s="25" t="s">
        <v>181</v>
      </c>
      <c r="K208" s="25" t="s">
        <v>2515</v>
      </c>
    </row>
    <row r="209" ht="15.75" customHeight="1">
      <c r="A209" s="27" t="s">
        <v>2741</v>
      </c>
      <c r="B209" s="27" t="s">
        <v>2483</v>
      </c>
      <c r="C209" s="27" t="s">
        <v>1467</v>
      </c>
      <c r="D209" s="27" t="s">
        <v>2545</v>
      </c>
      <c r="E209" s="33">
        <v>45151.0</v>
      </c>
      <c r="F209" s="33">
        <v>45462.0</v>
      </c>
      <c r="G209" s="40">
        <v>50.0</v>
      </c>
      <c r="H209" s="38">
        <v>1564.0</v>
      </c>
      <c r="I209" s="38">
        <v>889.0</v>
      </c>
      <c r="J209" s="27" t="s">
        <v>181</v>
      </c>
      <c r="K209" s="27" t="s">
        <v>2515</v>
      </c>
    </row>
    <row r="210" ht="15.75" customHeight="1">
      <c r="A210" s="25" t="s">
        <v>2742</v>
      </c>
      <c r="B210" s="25" t="s">
        <v>2483</v>
      </c>
      <c r="C210" s="25" t="s">
        <v>1455</v>
      </c>
      <c r="D210" s="25" t="s">
        <v>2545</v>
      </c>
      <c r="E210" s="30">
        <v>45169.0</v>
      </c>
      <c r="F210" s="30">
        <v>45453.0</v>
      </c>
      <c r="G210" s="39">
        <v>75.0</v>
      </c>
      <c r="H210" s="37">
        <v>1381.0</v>
      </c>
      <c r="I210" s="37">
        <v>1217.0</v>
      </c>
      <c r="J210" s="25" t="s">
        <v>181</v>
      </c>
      <c r="K210" s="25" t="s">
        <v>2520</v>
      </c>
    </row>
    <row r="211" ht="15.75" customHeight="1">
      <c r="A211" s="27" t="s">
        <v>2743</v>
      </c>
      <c r="B211" s="27" t="s">
        <v>2488</v>
      </c>
      <c r="C211" s="27" t="s">
        <v>515</v>
      </c>
      <c r="D211" s="27" t="s">
        <v>2514</v>
      </c>
      <c r="E211" s="33">
        <v>45292.0</v>
      </c>
      <c r="F211" s="33">
        <v>45832.0</v>
      </c>
      <c r="G211" s="40">
        <v>25.0</v>
      </c>
      <c r="H211" s="38">
        <v>2646.0</v>
      </c>
      <c r="I211" s="38">
        <v>771.0</v>
      </c>
      <c r="J211" s="27" t="s">
        <v>187</v>
      </c>
      <c r="K211" s="27" t="s">
        <v>2520</v>
      </c>
    </row>
    <row r="212" ht="15.75" customHeight="1">
      <c r="A212" s="25" t="s">
        <v>2744</v>
      </c>
      <c r="B212" s="25" t="s">
        <v>2488</v>
      </c>
      <c r="C212" s="25" t="s">
        <v>589</v>
      </c>
      <c r="D212" s="25" t="s">
        <v>2517</v>
      </c>
      <c r="E212" s="30">
        <v>45293.0</v>
      </c>
      <c r="F212" s="30">
        <v>45809.0</v>
      </c>
      <c r="G212" s="39">
        <v>50.0</v>
      </c>
      <c r="H212" s="37">
        <v>6348.0</v>
      </c>
      <c r="I212" s="37">
        <v>1474.0</v>
      </c>
      <c r="J212" s="25" t="s">
        <v>181</v>
      </c>
      <c r="K212" s="25" t="s">
        <v>2515</v>
      </c>
    </row>
    <row r="213" ht="15.75" customHeight="1">
      <c r="A213" s="27" t="s">
        <v>2745</v>
      </c>
      <c r="B213" s="27" t="s">
        <v>2488</v>
      </c>
      <c r="C213" s="27" t="s">
        <v>658</v>
      </c>
      <c r="D213" s="27" t="s">
        <v>2522</v>
      </c>
      <c r="E213" s="33">
        <v>45318.0</v>
      </c>
      <c r="F213" s="33">
        <v>45811.0</v>
      </c>
      <c r="G213" s="40">
        <v>75.0</v>
      </c>
      <c r="H213" s="38">
        <v>3390.0</v>
      </c>
      <c r="I213" s="38">
        <v>2113.0</v>
      </c>
      <c r="J213" s="27" t="s">
        <v>181</v>
      </c>
      <c r="K213" s="27" t="s">
        <v>2515</v>
      </c>
    </row>
    <row r="214" ht="15.75" customHeight="1">
      <c r="A214" s="25" t="s">
        <v>2746</v>
      </c>
      <c r="B214" s="25" t="s">
        <v>2488</v>
      </c>
      <c r="C214" s="25" t="s">
        <v>682</v>
      </c>
      <c r="D214" s="25" t="s">
        <v>2519</v>
      </c>
      <c r="E214" s="30">
        <v>45299.0</v>
      </c>
      <c r="F214" s="30">
        <v>45837.0</v>
      </c>
      <c r="G214" s="39">
        <v>50.0</v>
      </c>
      <c r="H214" s="37">
        <v>2090.0</v>
      </c>
      <c r="I214" s="37">
        <v>1537.0</v>
      </c>
      <c r="J214" s="25" t="s">
        <v>181</v>
      </c>
      <c r="K214" s="25" t="s">
        <v>2515</v>
      </c>
    </row>
    <row r="215" ht="15.75" customHeight="1">
      <c r="A215" s="27" t="s">
        <v>2747</v>
      </c>
      <c r="B215" s="27" t="s">
        <v>2488</v>
      </c>
      <c r="C215" s="27" t="s">
        <v>744</v>
      </c>
      <c r="D215" s="27" t="s">
        <v>2526</v>
      </c>
      <c r="E215" s="33">
        <v>45314.0</v>
      </c>
      <c r="F215" s="33">
        <v>45808.0</v>
      </c>
      <c r="G215" s="40">
        <v>100.0</v>
      </c>
      <c r="H215" s="38">
        <v>4344.0</v>
      </c>
      <c r="I215" s="38">
        <v>2823.0</v>
      </c>
      <c r="J215" s="27" t="s">
        <v>187</v>
      </c>
      <c r="K215" s="27" t="s">
        <v>2515</v>
      </c>
    </row>
    <row r="216" ht="15.75" customHeight="1">
      <c r="A216" s="25" t="s">
        <v>2748</v>
      </c>
      <c r="B216" s="25" t="s">
        <v>2488</v>
      </c>
      <c r="C216" s="25" t="s">
        <v>750</v>
      </c>
      <c r="D216" s="25" t="s">
        <v>2526</v>
      </c>
      <c r="E216" s="30">
        <v>45311.0</v>
      </c>
      <c r="F216" s="30">
        <v>45811.0</v>
      </c>
      <c r="G216" s="39">
        <v>25.0</v>
      </c>
      <c r="H216" s="37">
        <v>3139.0</v>
      </c>
      <c r="I216" s="37">
        <v>714.0</v>
      </c>
      <c r="J216" s="25" t="s">
        <v>181</v>
      </c>
      <c r="K216" s="25" t="s">
        <v>2531</v>
      </c>
    </row>
    <row r="217" ht="15.75" customHeight="1">
      <c r="A217" s="27" t="s">
        <v>2749</v>
      </c>
      <c r="B217" s="27" t="s">
        <v>2488</v>
      </c>
      <c r="C217" s="27" t="s">
        <v>915</v>
      </c>
      <c r="D217" s="27" t="s">
        <v>2528</v>
      </c>
      <c r="E217" s="33">
        <v>45292.0</v>
      </c>
      <c r="F217" s="33">
        <v>45820.0</v>
      </c>
      <c r="G217" s="40">
        <v>25.0</v>
      </c>
      <c r="H217" s="38">
        <v>1829.0</v>
      </c>
      <c r="I217" s="38">
        <v>754.0</v>
      </c>
      <c r="J217" s="27" t="s">
        <v>181</v>
      </c>
      <c r="K217" s="27" t="s">
        <v>2515</v>
      </c>
    </row>
    <row r="218" ht="15.75" customHeight="1">
      <c r="A218" s="25" t="s">
        <v>2750</v>
      </c>
      <c r="B218" s="25" t="s">
        <v>2488</v>
      </c>
      <c r="C218" s="25" t="s">
        <v>849</v>
      </c>
      <c r="D218" s="25" t="s">
        <v>2528</v>
      </c>
      <c r="E218" s="30">
        <v>45315.0</v>
      </c>
      <c r="F218" s="30">
        <v>45822.0</v>
      </c>
      <c r="G218" s="39">
        <v>100.0</v>
      </c>
      <c r="H218" s="37">
        <v>3923.0</v>
      </c>
      <c r="I218" s="37">
        <v>2897.0</v>
      </c>
      <c r="J218" s="25" t="s">
        <v>181</v>
      </c>
      <c r="K218" s="25" t="s">
        <v>2515</v>
      </c>
    </row>
    <row r="219" ht="15.75" customHeight="1">
      <c r="A219" s="27" t="s">
        <v>2751</v>
      </c>
      <c r="B219" s="27" t="s">
        <v>2488</v>
      </c>
      <c r="C219" s="27" t="s">
        <v>1018</v>
      </c>
      <c r="D219" s="27" t="s">
        <v>2561</v>
      </c>
      <c r="E219" s="33">
        <v>45312.0</v>
      </c>
      <c r="F219" s="33">
        <v>45816.0</v>
      </c>
      <c r="G219" s="40">
        <v>75.0</v>
      </c>
      <c r="H219" s="38">
        <v>2665.0</v>
      </c>
      <c r="I219" s="38">
        <v>2160.0</v>
      </c>
      <c r="J219" s="27" t="s">
        <v>181</v>
      </c>
      <c r="K219" s="27" t="s">
        <v>2531</v>
      </c>
    </row>
    <row r="220" ht="15.75" customHeight="1">
      <c r="A220" s="25" t="s">
        <v>2752</v>
      </c>
      <c r="B220" s="25" t="s">
        <v>2488</v>
      </c>
      <c r="C220" s="25" t="s">
        <v>950</v>
      </c>
      <c r="D220" s="25" t="s">
        <v>2536</v>
      </c>
      <c r="E220" s="30">
        <v>45297.0</v>
      </c>
      <c r="F220" s="30">
        <v>45822.0</v>
      </c>
      <c r="G220" s="39">
        <v>25.0</v>
      </c>
      <c r="H220" s="37">
        <v>3338.0</v>
      </c>
      <c r="I220" s="37">
        <v>750.0</v>
      </c>
      <c r="J220" s="25" t="s">
        <v>181</v>
      </c>
      <c r="K220" s="25" t="s">
        <v>2531</v>
      </c>
    </row>
    <row r="221" ht="15.75" customHeight="1">
      <c r="A221" s="27" t="s">
        <v>2753</v>
      </c>
      <c r="B221" s="27" t="s">
        <v>2488</v>
      </c>
      <c r="C221" s="27" t="s">
        <v>1056</v>
      </c>
      <c r="D221" s="27" t="s">
        <v>2561</v>
      </c>
      <c r="E221" s="33">
        <v>45318.0</v>
      </c>
      <c r="F221" s="33">
        <v>45830.0</v>
      </c>
      <c r="G221" s="40">
        <v>100.0</v>
      </c>
      <c r="H221" s="38">
        <v>3127.0</v>
      </c>
      <c r="I221" s="38">
        <v>2926.0</v>
      </c>
      <c r="J221" s="27" t="s">
        <v>181</v>
      </c>
      <c r="K221" s="27" t="s">
        <v>2520</v>
      </c>
    </row>
    <row r="222" ht="15.75" customHeight="1">
      <c r="A222" s="25" t="s">
        <v>2754</v>
      </c>
      <c r="B222" s="25" t="s">
        <v>2488</v>
      </c>
      <c r="C222" s="25" t="s">
        <v>1243</v>
      </c>
      <c r="D222" s="25" t="s">
        <v>2538</v>
      </c>
      <c r="E222" s="30">
        <v>45297.0</v>
      </c>
      <c r="F222" s="30">
        <v>45830.0</v>
      </c>
      <c r="G222" s="39">
        <v>50.0</v>
      </c>
      <c r="H222" s="37">
        <v>2579.0</v>
      </c>
      <c r="I222" s="37">
        <v>1523.0</v>
      </c>
      <c r="J222" s="25" t="s">
        <v>181</v>
      </c>
      <c r="K222" s="25" t="s">
        <v>2520</v>
      </c>
    </row>
    <row r="223" ht="15.75" customHeight="1">
      <c r="A223" s="27" t="s">
        <v>2755</v>
      </c>
      <c r="B223" s="27" t="s">
        <v>2488</v>
      </c>
      <c r="C223" s="27" t="s">
        <v>1187</v>
      </c>
      <c r="D223" s="27" t="s">
        <v>2543</v>
      </c>
      <c r="E223" s="33">
        <v>45293.0</v>
      </c>
      <c r="F223" s="33">
        <v>45831.0</v>
      </c>
      <c r="G223" s="40">
        <v>50.0</v>
      </c>
      <c r="H223" s="38">
        <v>2482.0</v>
      </c>
      <c r="I223" s="38">
        <v>1537.0</v>
      </c>
      <c r="J223" s="27" t="s">
        <v>181</v>
      </c>
      <c r="K223" s="27" t="s">
        <v>2515</v>
      </c>
    </row>
    <row r="224" ht="15.75" customHeight="1">
      <c r="A224" s="25" t="s">
        <v>2756</v>
      </c>
      <c r="B224" s="25" t="s">
        <v>2488</v>
      </c>
      <c r="C224" s="25" t="s">
        <v>1207</v>
      </c>
      <c r="D224" s="25" t="s">
        <v>2538</v>
      </c>
      <c r="E224" s="30">
        <v>45306.0</v>
      </c>
      <c r="F224" s="30">
        <v>45823.0</v>
      </c>
      <c r="G224" s="39">
        <v>25.0</v>
      </c>
      <c r="H224" s="37">
        <v>4230.0</v>
      </c>
      <c r="I224" s="37">
        <v>739.0</v>
      </c>
      <c r="J224" s="25" t="s">
        <v>181</v>
      </c>
      <c r="K224" s="25" t="s">
        <v>2515</v>
      </c>
    </row>
    <row r="225" ht="15.75" customHeight="1">
      <c r="A225" s="27" t="s">
        <v>2757</v>
      </c>
      <c r="B225" s="27" t="s">
        <v>2488</v>
      </c>
      <c r="C225" s="27" t="s">
        <v>1219</v>
      </c>
      <c r="D225" s="27" t="s">
        <v>2541</v>
      </c>
      <c r="E225" s="33">
        <v>45303.0</v>
      </c>
      <c r="F225" s="33">
        <v>45818.0</v>
      </c>
      <c r="G225" s="40">
        <v>50.0</v>
      </c>
      <c r="H225" s="38">
        <v>1030.0</v>
      </c>
      <c r="I225" s="38">
        <v>1471.0</v>
      </c>
      <c r="J225" s="27" t="s">
        <v>181</v>
      </c>
      <c r="K225" s="27" t="s">
        <v>2515</v>
      </c>
    </row>
    <row r="226" ht="15.75" customHeight="1">
      <c r="A226" s="25" t="s">
        <v>2758</v>
      </c>
      <c r="B226" s="25" t="s">
        <v>2488</v>
      </c>
      <c r="C226" s="25" t="s">
        <v>1443</v>
      </c>
      <c r="D226" s="25" t="s">
        <v>2548</v>
      </c>
      <c r="E226" s="30">
        <v>45316.0</v>
      </c>
      <c r="F226" s="30">
        <v>45811.0</v>
      </c>
      <c r="G226" s="39">
        <v>25.0</v>
      </c>
      <c r="H226" s="37">
        <v>2323.0</v>
      </c>
      <c r="I226" s="37">
        <v>707.0</v>
      </c>
      <c r="J226" s="25" t="s">
        <v>181</v>
      </c>
      <c r="K226" s="25" t="s">
        <v>2515</v>
      </c>
    </row>
    <row r="227" ht="15.75" customHeight="1">
      <c r="A227" s="27" t="s">
        <v>2759</v>
      </c>
      <c r="B227" s="27" t="s">
        <v>2488</v>
      </c>
      <c r="C227" s="27" t="s">
        <v>1431</v>
      </c>
      <c r="D227" s="27" t="s">
        <v>2548</v>
      </c>
      <c r="E227" s="33">
        <v>45311.0</v>
      </c>
      <c r="F227" s="33">
        <v>45838.0</v>
      </c>
      <c r="G227" s="40">
        <v>25.0</v>
      </c>
      <c r="H227" s="38">
        <v>1074.0</v>
      </c>
      <c r="I227" s="38">
        <v>753.0</v>
      </c>
      <c r="J227" s="27" t="s">
        <v>181</v>
      </c>
      <c r="K227" s="27" t="s">
        <v>2515</v>
      </c>
    </row>
    <row r="228" ht="15.75" customHeight="1">
      <c r="A228" s="25" t="s">
        <v>2760</v>
      </c>
      <c r="B228" s="25" t="s">
        <v>2488</v>
      </c>
      <c r="C228" s="25" t="s">
        <v>1449</v>
      </c>
      <c r="D228" s="25" t="s">
        <v>2548</v>
      </c>
      <c r="E228" s="30">
        <v>45294.0</v>
      </c>
      <c r="F228" s="30">
        <v>45820.0</v>
      </c>
      <c r="G228" s="39">
        <v>25.0</v>
      </c>
      <c r="H228" s="37">
        <v>1809.0</v>
      </c>
      <c r="I228" s="37">
        <v>751.0</v>
      </c>
      <c r="J228" s="25" t="s">
        <v>181</v>
      </c>
      <c r="K228" s="25" t="s">
        <v>2515</v>
      </c>
    </row>
    <row r="229" ht="15.75" customHeight="1">
      <c r="A229" s="27" t="s">
        <v>2761</v>
      </c>
      <c r="B229" s="27" t="s">
        <v>2488</v>
      </c>
      <c r="C229" s="27" t="s">
        <v>1437</v>
      </c>
      <c r="D229" s="27" t="s">
        <v>2545</v>
      </c>
      <c r="E229" s="33">
        <v>45294.0</v>
      </c>
      <c r="F229" s="33">
        <v>45808.0</v>
      </c>
      <c r="G229" s="40">
        <v>25.0</v>
      </c>
      <c r="H229" s="38">
        <v>1002.0</v>
      </c>
      <c r="I229" s="38">
        <v>734.0</v>
      </c>
      <c r="J229" s="27" t="s">
        <v>181</v>
      </c>
      <c r="K229" s="27" t="s">
        <v>2515</v>
      </c>
    </row>
    <row r="230" ht="15.75" customHeight="1">
      <c r="A230" s="25" t="s">
        <v>2762</v>
      </c>
      <c r="B230" s="25" t="s">
        <v>2492</v>
      </c>
      <c r="C230" s="25" t="s">
        <v>497</v>
      </c>
      <c r="D230" s="25" t="s">
        <v>2514</v>
      </c>
      <c r="E230" s="30">
        <v>45425.0</v>
      </c>
      <c r="F230" s="30">
        <v>45762.0</v>
      </c>
      <c r="G230" s="39">
        <v>25.0</v>
      </c>
      <c r="H230" s="37">
        <v>4834.0</v>
      </c>
      <c r="I230" s="37">
        <v>481.0</v>
      </c>
      <c r="J230" s="25" t="s">
        <v>181</v>
      </c>
      <c r="K230" s="25" t="s">
        <v>2515</v>
      </c>
    </row>
    <row r="231" ht="15.75" customHeight="1">
      <c r="A231" s="27" t="s">
        <v>2763</v>
      </c>
      <c r="B231" s="27" t="s">
        <v>2492</v>
      </c>
      <c r="C231" s="27" t="s">
        <v>581</v>
      </c>
      <c r="D231" s="27" t="s">
        <v>2517</v>
      </c>
      <c r="E231" s="33">
        <v>45427.0</v>
      </c>
      <c r="F231" s="33">
        <v>45775.0</v>
      </c>
      <c r="G231" s="40">
        <v>50.0</v>
      </c>
      <c r="H231" s="38">
        <v>1954.0</v>
      </c>
      <c r="I231" s="38">
        <v>994.0</v>
      </c>
      <c r="J231" s="27" t="s">
        <v>181</v>
      </c>
      <c r="K231" s="27" t="s">
        <v>2520</v>
      </c>
    </row>
    <row r="232" ht="15.75" customHeight="1">
      <c r="A232" s="25" t="s">
        <v>2764</v>
      </c>
      <c r="B232" s="25" t="s">
        <v>2492</v>
      </c>
      <c r="C232" s="25" t="s">
        <v>658</v>
      </c>
      <c r="D232" s="25" t="s">
        <v>2522</v>
      </c>
      <c r="E232" s="30">
        <v>45433.0</v>
      </c>
      <c r="F232" s="30">
        <v>45773.0</v>
      </c>
      <c r="G232" s="39">
        <v>50.0</v>
      </c>
      <c r="H232" s="37">
        <v>5197.0</v>
      </c>
      <c r="I232" s="37">
        <v>971.0</v>
      </c>
      <c r="J232" s="25" t="s">
        <v>181</v>
      </c>
      <c r="K232" s="25" t="s">
        <v>2515</v>
      </c>
    </row>
    <row r="233" ht="15.75" customHeight="1">
      <c r="A233" s="27" t="s">
        <v>2765</v>
      </c>
      <c r="B233" s="27" t="s">
        <v>2492</v>
      </c>
      <c r="C233" s="27" t="s">
        <v>620</v>
      </c>
      <c r="D233" s="27" t="s">
        <v>2519</v>
      </c>
      <c r="E233" s="33">
        <v>45423.0</v>
      </c>
      <c r="F233" s="33">
        <v>45768.0</v>
      </c>
      <c r="G233" s="40">
        <v>100.0</v>
      </c>
      <c r="H233" s="38">
        <v>5082.0</v>
      </c>
      <c r="I233" s="38">
        <v>1971.0</v>
      </c>
      <c r="J233" s="27" t="s">
        <v>181</v>
      </c>
      <c r="K233" s="27" t="s">
        <v>2515</v>
      </c>
    </row>
    <row r="234" ht="15.75" customHeight="1">
      <c r="A234" s="25" t="s">
        <v>2766</v>
      </c>
      <c r="B234" s="25" t="s">
        <v>2492</v>
      </c>
      <c r="C234" s="25" t="s">
        <v>729</v>
      </c>
      <c r="D234" s="25" t="s">
        <v>2524</v>
      </c>
      <c r="E234" s="30">
        <v>45437.0</v>
      </c>
      <c r="F234" s="30">
        <v>45756.0</v>
      </c>
      <c r="G234" s="39">
        <v>25.0</v>
      </c>
      <c r="H234" s="37">
        <v>5086.0</v>
      </c>
      <c r="I234" s="37">
        <v>456.0</v>
      </c>
      <c r="J234" s="25" t="s">
        <v>181</v>
      </c>
      <c r="K234" s="25" t="s">
        <v>2515</v>
      </c>
    </row>
    <row r="235" ht="15.75" customHeight="1">
      <c r="A235" s="27" t="s">
        <v>2767</v>
      </c>
      <c r="B235" s="27" t="s">
        <v>2492</v>
      </c>
      <c r="C235" s="27" t="s">
        <v>779</v>
      </c>
      <c r="D235" s="27" t="s">
        <v>2526</v>
      </c>
      <c r="E235" s="33">
        <v>45428.0</v>
      </c>
      <c r="F235" s="33">
        <v>45774.0</v>
      </c>
      <c r="G235" s="40">
        <v>50.0</v>
      </c>
      <c r="H235" s="38">
        <v>3563.0</v>
      </c>
      <c r="I235" s="38">
        <v>989.0</v>
      </c>
      <c r="J235" s="27" t="s">
        <v>181</v>
      </c>
      <c r="K235" s="27" t="s">
        <v>2515</v>
      </c>
    </row>
    <row r="236" ht="15.75" customHeight="1">
      <c r="A236" s="25" t="s">
        <v>2768</v>
      </c>
      <c r="B236" s="25" t="s">
        <v>2492</v>
      </c>
      <c r="C236" s="25" t="s">
        <v>883</v>
      </c>
      <c r="D236" s="25" t="s">
        <v>2530</v>
      </c>
      <c r="E236" s="30">
        <v>45427.0</v>
      </c>
      <c r="F236" s="30">
        <v>45767.0</v>
      </c>
      <c r="G236" s="39">
        <v>25.0</v>
      </c>
      <c r="H236" s="37">
        <v>2895.0</v>
      </c>
      <c r="I236" s="37">
        <v>486.0</v>
      </c>
      <c r="J236" s="25" t="s">
        <v>181</v>
      </c>
      <c r="K236" s="25" t="s">
        <v>2531</v>
      </c>
    </row>
    <row r="237" ht="15.75" customHeight="1">
      <c r="A237" s="27" t="s">
        <v>2769</v>
      </c>
      <c r="B237" s="27" t="s">
        <v>2492</v>
      </c>
      <c r="C237" s="27" t="s">
        <v>875</v>
      </c>
      <c r="D237" s="27" t="s">
        <v>2528</v>
      </c>
      <c r="E237" s="33">
        <v>45424.0</v>
      </c>
      <c r="F237" s="33">
        <v>45775.0</v>
      </c>
      <c r="G237" s="40">
        <v>75.0</v>
      </c>
      <c r="H237" s="38">
        <v>3221.0</v>
      </c>
      <c r="I237" s="38">
        <v>1504.0</v>
      </c>
      <c r="J237" s="27" t="s">
        <v>181</v>
      </c>
      <c r="K237" s="27" t="s">
        <v>2531</v>
      </c>
    </row>
    <row r="238" ht="15.75" customHeight="1">
      <c r="A238" s="25" t="s">
        <v>2770</v>
      </c>
      <c r="B238" s="25" t="s">
        <v>2492</v>
      </c>
      <c r="C238" s="25" t="s">
        <v>963</v>
      </c>
      <c r="D238" s="25" t="s">
        <v>2561</v>
      </c>
      <c r="E238" s="30">
        <v>45421.0</v>
      </c>
      <c r="F238" s="30">
        <v>45753.0</v>
      </c>
      <c r="G238" s="39">
        <v>75.0</v>
      </c>
      <c r="H238" s="37">
        <v>4942.0</v>
      </c>
      <c r="I238" s="37">
        <v>1423.0</v>
      </c>
      <c r="J238" s="25" t="s">
        <v>181</v>
      </c>
      <c r="K238" s="25" t="s">
        <v>2520</v>
      </c>
    </row>
    <row r="239" ht="15.75" customHeight="1">
      <c r="A239" s="27" t="s">
        <v>2771</v>
      </c>
      <c r="B239" s="27" t="s">
        <v>2492</v>
      </c>
      <c r="C239" s="27" t="s">
        <v>1082</v>
      </c>
      <c r="D239" s="27" t="s">
        <v>2536</v>
      </c>
      <c r="E239" s="33">
        <v>45428.0</v>
      </c>
      <c r="F239" s="33">
        <v>45776.0</v>
      </c>
      <c r="G239" s="40">
        <v>25.0</v>
      </c>
      <c r="H239" s="38">
        <v>4881.0</v>
      </c>
      <c r="I239" s="38">
        <v>497.0</v>
      </c>
      <c r="J239" s="27" t="s">
        <v>181</v>
      </c>
      <c r="K239" s="27" t="s">
        <v>2515</v>
      </c>
    </row>
    <row r="240" ht="15.75" customHeight="1">
      <c r="A240" s="25" t="s">
        <v>2772</v>
      </c>
      <c r="B240" s="25" t="s">
        <v>2492</v>
      </c>
      <c r="C240" s="25" t="s">
        <v>1076</v>
      </c>
      <c r="D240" s="25" t="s">
        <v>2561</v>
      </c>
      <c r="E240" s="30">
        <v>45429.0</v>
      </c>
      <c r="F240" s="30">
        <v>45750.0</v>
      </c>
      <c r="G240" s="39">
        <v>50.0</v>
      </c>
      <c r="H240" s="37">
        <v>2651.0</v>
      </c>
      <c r="I240" s="37">
        <v>917.0</v>
      </c>
      <c r="J240" s="25" t="s">
        <v>181</v>
      </c>
      <c r="K240" s="25" t="s">
        <v>2515</v>
      </c>
    </row>
    <row r="241" ht="15.75" customHeight="1">
      <c r="A241" s="27" t="s">
        <v>2773</v>
      </c>
      <c r="B241" s="27" t="s">
        <v>2492</v>
      </c>
      <c r="C241" s="27" t="s">
        <v>1122</v>
      </c>
      <c r="D241" s="27" t="s">
        <v>2543</v>
      </c>
      <c r="E241" s="33">
        <v>45421.0</v>
      </c>
      <c r="F241" s="33">
        <v>45749.0</v>
      </c>
      <c r="G241" s="40">
        <v>100.0</v>
      </c>
      <c r="H241" s="38">
        <v>2925.0</v>
      </c>
      <c r="I241" s="38">
        <v>1874.0</v>
      </c>
      <c r="J241" s="27" t="s">
        <v>181</v>
      </c>
      <c r="K241" s="27" t="s">
        <v>2520</v>
      </c>
    </row>
    <row r="242" ht="15.75" customHeight="1">
      <c r="A242" s="25" t="s">
        <v>2774</v>
      </c>
      <c r="B242" s="25" t="s">
        <v>2492</v>
      </c>
      <c r="C242" s="25" t="s">
        <v>1167</v>
      </c>
      <c r="D242" s="25" t="s">
        <v>2538</v>
      </c>
      <c r="E242" s="30">
        <v>45420.0</v>
      </c>
      <c r="F242" s="30">
        <v>45755.0</v>
      </c>
      <c r="G242" s="39">
        <v>25.0</v>
      </c>
      <c r="H242" s="37">
        <v>3912.0</v>
      </c>
      <c r="I242" s="37">
        <v>479.0</v>
      </c>
      <c r="J242" s="25" t="s">
        <v>187</v>
      </c>
      <c r="K242" s="25" t="s">
        <v>2515</v>
      </c>
    </row>
    <row r="243" ht="15.75" customHeight="1">
      <c r="A243" s="27" t="s">
        <v>2775</v>
      </c>
      <c r="B243" s="27" t="s">
        <v>2492</v>
      </c>
      <c r="C243" s="27" t="s">
        <v>1187</v>
      </c>
      <c r="D243" s="27" t="s">
        <v>2543</v>
      </c>
      <c r="E243" s="33">
        <v>45431.0</v>
      </c>
      <c r="F243" s="33">
        <v>45765.0</v>
      </c>
      <c r="G243" s="40">
        <v>75.0</v>
      </c>
      <c r="H243" s="38">
        <v>2378.0</v>
      </c>
      <c r="I243" s="38">
        <v>1431.0</v>
      </c>
      <c r="J243" s="27" t="s">
        <v>181</v>
      </c>
      <c r="K243" s="27" t="s">
        <v>2515</v>
      </c>
    </row>
    <row r="244" ht="15.75" customHeight="1">
      <c r="A244" s="25" t="s">
        <v>2776</v>
      </c>
      <c r="B244" s="25" t="s">
        <v>2492</v>
      </c>
      <c r="C244" s="25" t="s">
        <v>1281</v>
      </c>
      <c r="D244" s="25" t="s">
        <v>2541</v>
      </c>
      <c r="E244" s="30">
        <v>45427.0</v>
      </c>
      <c r="F244" s="30">
        <v>45757.0</v>
      </c>
      <c r="G244" s="39">
        <v>25.0</v>
      </c>
      <c r="H244" s="37">
        <v>2266.0</v>
      </c>
      <c r="I244" s="37">
        <v>471.0</v>
      </c>
      <c r="J244" s="25" t="s">
        <v>181</v>
      </c>
      <c r="K244" s="25" t="s">
        <v>2515</v>
      </c>
    </row>
    <row r="245" ht="15.75" customHeight="1">
      <c r="A245" s="27" t="s">
        <v>2777</v>
      </c>
      <c r="B245" s="27" t="s">
        <v>2492</v>
      </c>
      <c r="C245" s="27" t="s">
        <v>1437</v>
      </c>
      <c r="D245" s="27" t="s">
        <v>2548</v>
      </c>
      <c r="E245" s="33">
        <v>45416.0</v>
      </c>
      <c r="F245" s="33">
        <v>45748.0</v>
      </c>
      <c r="G245" s="40">
        <v>25.0</v>
      </c>
      <c r="H245" s="38">
        <v>1557.0</v>
      </c>
      <c r="I245" s="38">
        <v>474.0</v>
      </c>
      <c r="J245" s="27" t="s">
        <v>181</v>
      </c>
      <c r="K245" s="27" t="s">
        <v>2520</v>
      </c>
    </row>
    <row r="246" ht="15.75" customHeight="1">
      <c r="A246" s="25" t="s">
        <v>2778</v>
      </c>
      <c r="B246" s="25" t="s">
        <v>2492</v>
      </c>
      <c r="C246" s="25" t="s">
        <v>1393</v>
      </c>
      <c r="D246" s="25" t="s">
        <v>2545</v>
      </c>
      <c r="E246" s="30">
        <v>45415.0</v>
      </c>
      <c r="F246" s="30">
        <v>45767.0</v>
      </c>
      <c r="G246" s="39">
        <v>50.0</v>
      </c>
      <c r="H246" s="37">
        <v>2486.0</v>
      </c>
      <c r="I246" s="37">
        <v>1006.0</v>
      </c>
      <c r="J246" s="25" t="s">
        <v>181</v>
      </c>
      <c r="K246" s="25" t="s">
        <v>2515</v>
      </c>
    </row>
    <row r="247" ht="15.75" customHeight="1">
      <c r="A247" s="27" t="s">
        <v>2779</v>
      </c>
      <c r="B247" s="27" t="s">
        <v>2492</v>
      </c>
      <c r="C247" s="27" t="s">
        <v>1312</v>
      </c>
      <c r="D247" s="27" t="s">
        <v>2548</v>
      </c>
      <c r="E247" s="33">
        <v>45427.0</v>
      </c>
      <c r="F247" s="33">
        <v>45776.0</v>
      </c>
      <c r="G247" s="40">
        <v>100.0</v>
      </c>
      <c r="H247" s="38">
        <v>1280.0</v>
      </c>
      <c r="I247" s="38">
        <v>1994.0</v>
      </c>
      <c r="J247" s="27" t="s">
        <v>181</v>
      </c>
      <c r="K247" s="27" t="s">
        <v>2515</v>
      </c>
    </row>
    <row r="248" ht="15.75" customHeight="1">
      <c r="A248" s="25" t="s">
        <v>2780</v>
      </c>
      <c r="B248" s="25" t="s">
        <v>2492</v>
      </c>
      <c r="C248" s="25" t="s">
        <v>1449</v>
      </c>
      <c r="D248" s="25" t="s">
        <v>2548</v>
      </c>
      <c r="E248" s="30">
        <v>45414.0</v>
      </c>
      <c r="F248" s="30">
        <v>45758.0</v>
      </c>
      <c r="G248" s="39">
        <v>50.0</v>
      </c>
      <c r="H248" s="37">
        <v>2145.0</v>
      </c>
      <c r="I248" s="37">
        <v>983.0</v>
      </c>
      <c r="J248" s="25" t="s">
        <v>187</v>
      </c>
      <c r="K248" s="25" t="s">
        <v>2515</v>
      </c>
    </row>
    <row r="249" ht="15.75" customHeight="1">
      <c r="A249" s="27" t="s">
        <v>2781</v>
      </c>
      <c r="B249" s="27" t="s">
        <v>2496</v>
      </c>
      <c r="C249" s="27" t="s">
        <v>497</v>
      </c>
      <c r="D249" s="27" t="s">
        <v>2551</v>
      </c>
      <c r="E249" s="33">
        <v>44979.0</v>
      </c>
      <c r="F249" s="33">
        <v>45294.0</v>
      </c>
      <c r="G249" s="40">
        <v>100.0</v>
      </c>
      <c r="H249" s="38">
        <v>4446.0</v>
      </c>
      <c r="I249" s="38">
        <v>1800.0</v>
      </c>
      <c r="J249" s="27" t="s">
        <v>181</v>
      </c>
      <c r="K249" s="27" t="s">
        <v>2515</v>
      </c>
    </row>
    <row r="250" ht="15.75" customHeight="1">
      <c r="A250" s="25" t="s">
        <v>2782</v>
      </c>
      <c r="B250" s="25" t="s">
        <v>2496</v>
      </c>
      <c r="C250" s="25" t="s">
        <v>581</v>
      </c>
      <c r="D250" s="25" t="s">
        <v>2573</v>
      </c>
      <c r="E250" s="30">
        <v>44982.0</v>
      </c>
      <c r="F250" s="30">
        <v>45313.0</v>
      </c>
      <c r="G250" s="39">
        <v>100.0</v>
      </c>
      <c r="H250" s="37">
        <v>3042.0</v>
      </c>
      <c r="I250" s="37">
        <v>1891.0</v>
      </c>
      <c r="J250" s="25" t="s">
        <v>181</v>
      </c>
      <c r="K250" s="25" t="s">
        <v>2531</v>
      </c>
    </row>
    <row r="251" ht="15.75" customHeight="1">
      <c r="A251" s="27" t="s">
        <v>2783</v>
      </c>
      <c r="B251" s="27" t="s">
        <v>2496</v>
      </c>
      <c r="C251" s="27" t="s">
        <v>651</v>
      </c>
      <c r="D251" s="27" t="s">
        <v>2519</v>
      </c>
      <c r="E251" s="33">
        <v>44980.0</v>
      </c>
      <c r="F251" s="33">
        <v>45297.0</v>
      </c>
      <c r="G251" s="40">
        <v>100.0</v>
      </c>
      <c r="H251" s="38">
        <v>3468.0</v>
      </c>
      <c r="I251" s="38">
        <v>1811.0</v>
      </c>
      <c r="J251" s="27" t="s">
        <v>181</v>
      </c>
      <c r="K251" s="27" t="s">
        <v>2531</v>
      </c>
    </row>
    <row r="252" ht="15.75" customHeight="1">
      <c r="A252" s="25" t="s">
        <v>2784</v>
      </c>
      <c r="B252" s="25" t="s">
        <v>2496</v>
      </c>
      <c r="C252" s="25" t="s">
        <v>620</v>
      </c>
      <c r="D252" s="25" t="s">
        <v>2519</v>
      </c>
      <c r="E252" s="30">
        <v>44975.0</v>
      </c>
      <c r="F252" s="30">
        <v>45297.0</v>
      </c>
      <c r="G252" s="39">
        <v>100.0</v>
      </c>
      <c r="H252" s="37">
        <v>5278.0</v>
      </c>
      <c r="I252" s="37">
        <v>1840.0</v>
      </c>
      <c r="J252" s="25" t="s">
        <v>181</v>
      </c>
      <c r="K252" s="25" t="s">
        <v>2520</v>
      </c>
    </row>
    <row r="253" ht="15.75" customHeight="1">
      <c r="A253" s="27" t="s">
        <v>2785</v>
      </c>
      <c r="B253" s="27" t="s">
        <v>2496</v>
      </c>
      <c r="C253" s="27" t="s">
        <v>689</v>
      </c>
      <c r="D253" s="27" t="s">
        <v>2526</v>
      </c>
      <c r="E253" s="33">
        <v>44984.0</v>
      </c>
      <c r="F253" s="33">
        <v>45292.0</v>
      </c>
      <c r="G253" s="40">
        <v>75.0</v>
      </c>
      <c r="H253" s="38">
        <v>4020.0</v>
      </c>
      <c r="I253" s="38">
        <v>1320.0</v>
      </c>
      <c r="J253" s="27" t="s">
        <v>181</v>
      </c>
      <c r="K253" s="27" t="s">
        <v>2515</v>
      </c>
    </row>
    <row r="254" ht="15.75" customHeight="1">
      <c r="A254" s="25" t="s">
        <v>2786</v>
      </c>
      <c r="B254" s="25" t="s">
        <v>2496</v>
      </c>
      <c r="C254" s="25" t="s">
        <v>712</v>
      </c>
      <c r="D254" s="25" t="s">
        <v>2524</v>
      </c>
      <c r="E254" s="30">
        <v>44972.0</v>
      </c>
      <c r="F254" s="30">
        <v>45293.0</v>
      </c>
      <c r="G254" s="39">
        <v>25.0</v>
      </c>
      <c r="H254" s="37">
        <v>1604.0</v>
      </c>
      <c r="I254" s="37">
        <v>459.0</v>
      </c>
      <c r="J254" s="25" t="s">
        <v>181</v>
      </c>
      <c r="K254" s="25" t="s">
        <v>2531</v>
      </c>
    </row>
    <row r="255" ht="15.75" customHeight="1">
      <c r="A255" s="27" t="s">
        <v>2787</v>
      </c>
      <c r="B255" s="27" t="s">
        <v>2496</v>
      </c>
      <c r="C255" s="27" t="s">
        <v>801</v>
      </c>
      <c r="D255" s="27" t="s">
        <v>2528</v>
      </c>
      <c r="E255" s="33">
        <v>44981.0</v>
      </c>
      <c r="F255" s="33">
        <v>45322.0</v>
      </c>
      <c r="G255" s="40">
        <v>100.0</v>
      </c>
      <c r="H255" s="38">
        <v>1904.0</v>
      </c>
      <c r="I255" s="38">
        <v>1949.0</v>
      </c>
      <c r="J255" s="27" t="s">
        <v>181</v>
      </c>
      <c r="K255" s="27" t="s">
        <v>2520</v>
      </c>
    </row>
    <row r="256" ht="15.75" customHeight="1">
      <c r="A256" s="25" t="s">
        <v>2788</v>
      </c>
      <c r="B256" s="25" t="s">
        <v>2496</v>
      </c>
      <c r="C256" s="25" t="s">
        <v>890</v>
      </c>
      <c r="D256" s="25" t="s">
        <v>2528</v>
      </c>
      <c r="E256" s="30">
        <v>44976.0</v>
      </c>
      <c r="F256" s="30">
        <v>45319.0</v>
      </c>
      <c r="G256" s="39">
        <v>100.0</v>
      </c>
      <c r="H256" s="37">
        <v>3483.0</v>
      </c>
      <c r="I256" s="37">
        <v>1960.0</v>
      </c>
      <c r="J256" s="25" t="s">
        <v>181</v>
      </c>
      <c r="K256" s="25" t="s">
        <v>2531</v>
      </c>
    </row>
    <row r="257" ht="15.75" customHeight="1">
      <c r="A257" s="27" t="s">
        <v>2789</v>
      </c>
      <c r="B257" s="27" t="s">
        <v>2496</v>
      </c>
      <c r="C257" s="27" t="s">
        <v>991</v>
      </c>
      <c r="D257" s="27" t="s">
        <v>2536</v>
      </c>
      <c r="E257" s="33">
        <v>44982.0</v>
      </c>
      <c r="F257" s="33">
        <v>45317.0</v>
      </c>
      <c r="G257" s="40">
        <v>100.0</v>
      </c>
      <c r="H257" s="38">
        <v>3725.0</v>
      </c>
      <c r="I257" s="38">
        <v>1914.0</v>
      </c>
      <c r="J257" s="27" t="s">
        <v>181</v>
      </c>
      <c r="K257" s="27" t="s">
        <v>2515</v>
      </c>
    </row>
    <row r="258" ht="15.75" customHeight="1">
      <c r="A258" s="25" t="s">
        <v>2790</v>
      </c>
      <c r="B258" s="25" t="s">
        <v>2496</v>
      </c>
      <c r="C258" s="25" t="s">
        <v>1069</v>
      </c>
      <c r="D258" s="25" t="s">
        <v>2536</v>
      </c>
      <c r="E258" s="30">
        <v>44976.0</v>
      </c>
      <c r="F258" s="30">
        <v>45292.0</v>
      </c>
      <c r="G258" s="39">
        <v>50.0</v>
      </c>
      <c r="H258" s="37">
        <v>4881.0</v>
      </c>
      <c r="I258" s="37">
        <v>903.0</v>
      </c>
      <c r="J258" s="25" t="s">
        <v>181</v>
      </c>
      <c r="K258" s="25" t="s">
        <v>2531</v>
      </c>
    </row>
    <row r="259" ht="15.75" customHeight="1">
      <c r="A259" s="27" t="s">
        <v>2791</v>
      </c>
      <c r="B259" s="27" t="s">
        <v>2496</v>
      </c>
      <c r="C259" s="27" t="s">
        <v>969</v>
      </c>
      <c r="D259" s="27" t="s">
        <v>2536</v>
      </c>
      <c r="E259" s="33">
        <v>44974.0</v>
      </c>
      <c r="F259" s="33">
        <v>45296.0</v>
      </c>
      <c r="G259" s="40">
        <v>75.0</v>
      </c>
      <c r="H259" s="38">
        <v>4566.0</v>
      </c>
      <c r="I259" s="38">
        <v>1380.0</v>
      </c>
      <c r="J259" s="27" t="s">
        <v>181</v>
      </c>
      <c r="K259" s="27" t="s">
        <v>2515</v>
      </c>
    </row>
    <row r="260" ht="15.75" customHeight="1">
      <c r="A260" s="25" t="s">
        <v>2792</v>
      </c>
      <c r="B260" s="25" t="s">
        <v>2496</v>
      </c>
      <c r="C260" s="25" t="s">
        <v>1116</v>
      </c>
      <c r="D260" s="25" t="s">
        <v>2538</v>
      </c>
      <c r="E260" s="30">
        <v>44969.0</v>
      </c>
      <c r="F260" s="30">
        <v>45311.0</v>
      </c>
      <c r="G260" s="39">
        <v>100.0</v>
      </c>
      <c r="H260" s="37">
        <v>2539.0</v>
      </c>
      <c r="I260" s="37">
        <v>1954.0</v>
      </c>
      <c r="J260" s="25" t="s">
        <v>181</v>
      </c>
      <c r="K260" s="25" t="s">
        <v>2515</v>
      </c>
    </row>
    <row r="261" ht="15.75" customHeight="1">
      <c r="A261" s="27" t="s">
        <v>2793</v>
      </c>
      <c r="B261" s="27" t="s">
        <v>2496</v>
      </c>
      <c r="C261" s="27" t="s">
        <v>1128</v>
      </c>
      <c r="D261" s="27" t="s">
        <v>2541</v>
      </c>
      <c r="E261" s="33">
        <v>44972.0</v>
      </c>
      <c r="F261" s="33">
        <v>45309.0</v>
      </c>
      <c r="G261" s="40">
        <v>25.0</v>
      </c>
      <c r="H261" s="38">
        <v>4691.0</v>
      </c>
      <c r="I261" s="38">
        <v>481.0</v>
      </c>
      <c r="J261" s="27" t="s">
        <v>181</v>
      </c>
      <c r="K261" s="27" t="s">
        <v>2515</v>
      </c>
    </row>
    <row r="262" ht="15.75" customHeight="1">
      <c r="A262" s="25" t="s">
        <v>2794</v>
      </c>
      <c r="B262" s="25" t="s">
        <v>2496</v>
      </c>
      <c r="C262" s="25" t="s">
        <v>1154</v>
      </c>
      <c r="D262" s="25" t="s">
        <v>2543</v>
      </c>
      <c r="E262" s="30">
        <v>44985.0</v>
      </c>
      <c r="F262" s="30">
        <v>45301.0</v>
      </c>
      <c r="G262" s="39">
        <v>100.0</v>
      </c>
      <c r="H262" s="37">
        <v>2403.0</v>
      </c>
      <c r="I262" s="37">
        <v>1806.0</v>
      </c>
      <c r="J262" s="25" t="s">
        <v>181</v>
      </c>
      <c r="K262" s="25" t="s">
        <v>2515</v>
      </c>
    </row>
    <row r="263" ht="15.75" customHeight="1">
      <c r="A263" s="27" t="s">
        <v>2795</v>
      </c>
      <c r="B263" s="27" t="s">
        <v>2496</v>
      </c>
      <c r="C263" s="27" t="s">
        <v>1180</v>
      </c>
      <c r="D263" s="27" t="s">
        <v>2541</v>
      </c>
      <c r="E263" s="33">
        <v>44983.0</v>
      </c>
      <c r="F263" s="33">
        <v>45296.0</v>
      </c>
      <c r="G263" s="40">
        <v>25.0</v>
      </c>
      <c r="H263" s="38">
        <v>4981.0</v>
      </c>
      <c r="I263" s="38">
        <v>447.0</v>
      </c>
      <c r="J263" s="27" t="s">
        <v>181</v>
      </c>
      <c r="K263" s="27" t="s">
        <v>2531</v>
      </c>
    </row>
    <row r="264" ht="15.75" customHeight="1">
      <c r="A264" s="25" t="s">
        <v>2796</v>
      </c>
      <c r="B264" s="25" t="s">
        <v>2496</v>
      </c>
      <c r="C264" s="25" t="s">
        <v>1306</v>
      </c>
      <c r="D264" s="25" t="s">
        <v>2545</v>
      </c>
      <c r="E264" s="30">
        <v>44982.0</v>
      </c>
      <c r="F264" s="30">
        <v>45303.0</v>
      </c>
      <c r="G264" s="39">
        <v>25.0</v>
      </c>
      <c r="H264" s="37">
        <v>2885.0</v>
      </c>
      <c r="I264" s="37">
        <v>459.0</v>
      </c>
      <c r="J264" s="25" t="s">
        <v>181</v>
      </c>
      <c r="K264" s="25" t="s">
        <v>2520</v>
      </c>
    </row>
    <row r="265" ht="15.75" customHeight="1">
      <c r="A265" s="27" t="s">
        <v>2797</v>
      </c>
      <c r="B265" s="27" t="s">
        <v>2496</v>
      </c>
      <c r="C265" s="27" t="s">
        <v>1348</v>
      </c>
      <c r="D265" s="27" t="s">
        <v>2545</v>
      </c>
      <c r="E265" s="33">
        <v>44985.0</v>
      </c>
      <c r="F265" s="33">
        <v>45309.0</v>
      </c>
      <c r="G265" s="40">
        <v>25.0</v>
      </c>
      <c r="H265" s="38">
        <v>3604.0</v>
      </c>
      <c r="I265" s="38">
        <v>463.0</v>
      </c>
      <c r="J265" s="27" t="s">
        <v>181</v>
      </c>
      <c r="K265" s="27" t="s">
        <v>2531</v>
      </c>
    </row>
    <row r="266" ht="15.75" customHeight="1">
      <c r="A266" s="25" t="s">
        <v>2798</v>
      </c>
      <c r="B266" s="25" t="s">
        <v>2496</v>
      </c>
      <c r="C266" s="25" t="s">
        <v>1461</v>
      </c>
      <c r="D266" s="25" t="s">
        <v>2545</v>
      </c>
      <c r="E266" s="30">
        <v>44973.0</v>
      </c>
      <c r="F266" s="30">
        <v>45292.0</v>
      </c>
      <c r="G266" s="39">
        <v>25.0</v>
      </c>
      <c r="H266" s="37">
        <v>1621.0</v>
      </c>
      <c r="I266" s="37">
        <v>456.0</v>
      </c>
      <c r="J266" s="25" t="s">
        <v>181</v>
      </c>
      <c r="K266" s="25" t="s">
        <v>2531</v>
      </c>
    </row>
    <row r="267" ht="15.75" customHeight="1">
      <c r="A267" s="27" t="s">
        <v>2799</v>
      </c>
      <c r="B267" s="27" t="s">
        <v>2496</v>
      </c>
      <c r="C267" s="27" t="s">
        <v>1431</v>
      </c>
      <c r="D267" s="27" t="s">
        <v>2545</v>
      </c>
      <c r="E267" s="33">
        <v>44978.0</v>
      </c>
      <c r="F267" s="33">
        <v>45300.0</v>
      </c>
      <c r="G267" s="40">
        <v>100.0</v>
      </c>
      <c r="H267" s="38">
        <v>4614.0</v>
      </c>
      <c r="I267" s="38">
        <v>1840.0</v>
      </c>
      <c r="J267" s="27" t="s">
        <v>181</v>
      </c>
      <c r="K267" s="27" t="s">
        <v>2515</v>
      </c>
    </row>
    <row r="268" ht="15.75" customHeight="1">
      <c r="A268" s="25" t="s">
        <v>2800</v>
      </c>
      <c r="B268" s="25" t="s">
        <v>2501</v>
      </c>
      <c r="C268" s="25" t="s">
        <v>497</v>
      </c>
      <c r="D268" s="25" t="s">
        <v>2551</v>
      </c>
      <c r="E268" s="30">
        <v>45367.0</v>
      </c>
      <c r="F268" s="30">
        <v>45882.0</v>
      </c>
      <c r="G268" s="39">
        <v>75.0</v>
      </c>
      <c r="H268" s="37">
        <v>3267.0</v>
      </c>
      <c r="I268" s="37">
        <v>2207.0</v>
      </c>
      <c r="J268" s="25" t="s">
        <v>181</v>
      </c>
      <c r="K268" s="25" t="s">
        <v>2520</v>
      </c>
    </row>
    <row r="269" ht="15.75" customHeight="1">
      <c r="A269" s="27" t="s">
        <v>2801</v>
      </c>
      <c r="B269" s="27" t="s">
        <v>2501</v>
      </c>
      <c r="C269" s="27" t="s">
        <v>552</v>
      </c>
      <c r="D269" s="27" t="s">
        <v>2517</v>
      </c>
      <c r="E269" s="33">
        <v>45349.0</v>
      </c>
      <c r="F269" s="33">
        <v>45874.0</v>
      </c>
      <c r="G269" s="40">
        <v>50.0</v>
      </c>
      <c r="H269" s="38">
        <v>4608.0</v>
      </c>
      <c r="I269" s="38">
        <v>1500.0</v>
      </c>
      <c r="J269" s="27" t="s">
        <v>181</v>
      </c>
      <c r="K269" s="27" t="s">
        <v>2531</v>
      </c>
    </row>
    <row r="270" ht="15.75" customHeight="1">
      <c r="A270" s="25" t="s">
        <v>2802</v>
      </c>
      <c r="B270" s="25" t="s">
        <v>2501</v>
      </c>
      <c r="C270" s="25" t="s">
        <v>658</v>
      </c>
      <c r="D270" s="25" t="s">
        <v>2519</v>
      </c>
      <c r="E270" s="30">
        <v>45349.0</v>
      </c>
      <c r="F270" s="30">
        <v>45877.0</v>
      </c>
      <c r="G270" s="39">
        <v>50.0</v>
      </c>
      <c r="H270" s="37">
        <v>5884.0</v>
      </c>
      <c r="I270" s="37">
        <v>1509.0</v>
      </c>
      <c r="J270" s="25" t="s">
        <v>181</v>
      </c>
      <c r="K270" s="25" t="s">
        <v>2531</v>
      </c>
    </row>
    <row r="271" ht="15.75" customHeight="1">
      <c r="A271" s="27" t="s">
        <v>2803</v>
      </c>
      <c r="B271" s="27" t="s">
        <v>2501</v>
      </c>
      <c r="C271" s="27" t="s">
        <v>628</v>
      </c>
      <c r="D271" s="27" t="s">
        <v>2522</v>
      </c>
      <c r="E271" s="33">
        <v>45359.0</v>
      </c>
      <c r="F271" s="33">
        <v>45875.0</v>
      </c>
      <c r="G271" s="40">
        <v>100.0</v>
      </c>
      <c r="H271" s="38">
        <v>2195.0</v>
      </c>
      <c r="I271" s="38">
        <v>2949.0</v>
      </c>
      <c r="J271" s="27" t="s">
        <v>181</v>
      </c>
      <c r="K271" s="27" t="s">
        <v>2531</v>
      </c>
    </row>
    <row r="272" ht="15.75" customHeight="1">
      <c r="A272" s="25" t="s">
        <v>2804</v>
      </c>
      <c r="B272" s="25" t="s">
        <v>2501</v>
      </c>
      <c r="C272" s="25" t="s">
        <v>721</v>
      </c>
      <c r="D272" s="25" t="s">
        <v>2524</v>
      </c>
      <c r="E272" s="30">
        <v>45342.0</v>
      </c>
      <c r="F272" s="30">
        <v>45870.0</v>
      </c>
      <c r="G272" s="39">
        <v>75.0</v>
      </c>
      <c r="H272" s="37">
        <v>4835.0</v>
      </c>
      <c r="I272" s="37">
        <v>2263.0</v>
      </c>
      <c r="J272" s="25" t="s">
        <v>181</v>
      </c>
      <c r="K272" s="25" t="s">
        <v>2515</v>
      </c>
    </row>
    <row r="273" ht="15.75" customHeight="1">
      <c r="A273" s="27" t="s">
        <v>2805</v>
      </c>
      <c r="B273" s="27" t="s">
        <v>2501</v>
      </c>
      <c r="C273" s="27" t="s">
        <v>764</v>
      </c>
      <c r="D273" s="27" t="s">
        <v>2526</v>
      </c>
      <c r="E273" s="33">
        <v>45361.0</v>
      </c>
      <c r="F273" s="33">
        <v>45882.0</v>
      </c>
      <c r="G273" s="40">
        <v>100.0</v>
      </c>
      <c r="H273" s="38">
        <v>950.0</v>
      </c>
      <c r="I273" s="38">
        <v>2977.0</v>
      </c>
      <c r="J273" s="27" t="s">
        <v>181</v>
      </c>
      <c r="K273" s="27" t="s">
        <v>2531</v>
      </c>
    </row>
    <row r="274" ht="15.75" customHeight="1">
      <c r="A274" s="25" t="s">
        <v>2806</v>
      </c>
      <c r="B274" s="25" t="s">
        <v>2501</v>
      </c>
      <c r="C274" s="25" t="s">
        <v>855</v>
      </c>
      <c r="D274" s="25" t="s">
        <v>2528</v>
      </c>
      <c r="E274" s="30">
        <v>45360.0</v>
      </c>
      <c r="F274" s="30">
        <v>45896.0</v>
      </c>
      <c r="G274" s="39">
        <v>100.0</v>
      </c>
      <c r="H274" s="37">
        <v>906.0</v>
      </c>
      <c r="I274" s="37">
        <v>3063.0</v>
      </c>
      <c r="J274" s="25" t="s">
        <v>181</v>
      </c>
      <c r="K274" s="25" t="s">
        <v>2520</v>
      </c>
    </row>
    <row r="275" ht="15.75" customHeight="1">
      <c r="A275" s="27" t="s">
        <v>2807</v>
      </c>
      <c r="B275" s="27" t="s">
        <v>2501</v>
      </c>
      <c r="C275" s="27" t="s">
        <v>862</v>
      </c>
      <c r="D275" s="27" t="s">
        <v>2530</v>
      </c>
      <c r="E275" s="33">
        <v>45365.0</v>
      </c>
      <c r="F275" s="33">
        <v>45893.0</v>
      </c>
      <c r="G275" s="40">
        <v>50.0</v>
      </c>
      <c r="H275" s="38">
        <v>1807.0</v>
      </c>
      <c r="I275" s="38">
        <v>1509.0</v>
      </c>
      <c r="J275" s="27" t="s">
        <v>181</v>
      </c>
      <c r="K275" s="27" t="s">
        <v>2515</v>
      </c>
    </row>
    <row r="276" ht="15.75" customHeight="1">
      <c r="A276" s="25" t="s">
        <v>2808</v>
      </c>
      <c r="B276" s="25" t="s">
        <v>2501</v>
      </c>
      <c r="C276" s="25" t="s">
        <v>1024</v>
      </c>
      <c r="D276" s="25" t="s">
        <v>2536</v>
      </c>
      <c r="E276" s="30">
        <v>45358.0</v>
      </c>
      <c r="F276" s="30">
        <v>45899.0</v>
      </c>
      <c r="G276" s="39">
        <v>100.0</v>
      </c>
      <c r="H276" s="37">
        <v>4036.0</v>
      </c>
      <c r="I276" s="37">
        <v>3091.0</v>
      </c>
      <c r="J276" s="25" t="s">
        <v>181</v>
      </c>
      <c r="K276" s="25" t="s">
        <v>2515</v>
      </c>
    </row>
    <row r="277" ht="15.75" customHeight="1">
      <c r="A277" s="27" t="s">
        <v>2809</v>
      </c>
      <c r="B277" s="27" t="s">
        <v>2501</v>
      </c>
      <c r="C277" s="27" t="s">
        <v>1076</v>
      </c>
      <c r="D277" s="27" t="s">
        <v>2533</v>
      </c>
      <c r="E277" s="33">
        <v>45355.0</v>
      </c>
      <c r="F277" s="33">
        <v>45873.0</v>
      </c>
      <c r="G277" s="40">
        <v>25.0</v>
      </c>
      <c r="H277" s="38">
        <v>3481.0</v>
      </c>
      <c r="I277" s="38">
        <v>740.0</v>
      </c>
      <c r="J277" s="27" t="s">
        <v>181</v>
      </c>
      <c r="K277" s="27" t="s">
        <v>2531</v>
      </c>
    </row>
    <row r="278" ht="15.75" customHeight="1">
      <c r="A278" s="25" t="s">
        <v>2810</v>
      </c>
      <c r="B278" s="25" t="s">
        <v>2501</v>
      </c>
      <c r="C278" s="25" t="s">
        <v>983</v>
      </c>
      <c r="D278" s="25" t="s">
        <v>2533</v>
      </c>
      <c r="E278" s="30">
        <v>45346.0</v>
      </c>
      <c r="F278" s="30">
        <v>45892.0</v>
      </c>
      <c r="G278" s="39">
        <v>25.0</v>
      </c>
      <c r="H278" s="37">
        <v>1250.0</v>
      </c>
      <c r="I278" s="37">
        <v>780.0</v>
      </c>
      <c r="J278" s="25" t="s">
        <v>181</v>
      </c>
      <c r="K278" s="25" t="s">
        <v>2520</v>
      </c>
    </row>
    <row r="279" ht="15.75" customHeight="1">
      <c r="A279" s="27" t="s">
        <v>2811</v>
      </c>
      <c r="B279" s="27" t="s">
        <v>2501</v>
      </c>
      <c r="C279" s="27" t="s">
        <v>1102</v>
      </c>
      <c r="D279" s="27" t="s">
        <v>2541</v>
      </c>
      <c r="E279" s="33">
        <v>45343.0</v>
      </c>
      <c r="F279" s="33">
        <v>45888.0</v>
      </c>
      <c r="G279" s="40">
        <v>75.0</v>
      </c>
      <c r="H279" s="38">
        <v>4633.0</v>
      </c>
      <c r="I279" s="38">
        <v>2336.0</v>
      </c>
      <c r="J279" s="27" t="s">
        <v>181</v>
      </c>
      <c r="K279" s="27" t="s">
        <v>2531</v>
      </c>
    </row>
    <row r="280" ht="15.75" customHeight="1">
      <c r="A280" s="25" t="s">
        <v>2812</v>
      </c>
      <c r="B280" s="25" t="s">
        <v>2501</v>
      </c>
      <c r="C280" s="25" t="s">
        <v>1281</v>
      </c>
      <c r="D280" s="25" t="s">
        <v>2541</v>
      </c>
      <c r="E280" s="30">
        <v>45357.0</v>
      </c>
      <c r="F280" s="30">
        <v>45898.0</v>
      </c>
      <c r="G280" s="39">
        <v>25.0</v>
      </c>
      <c r="H280" s="37">
        <v>2843.0</v>
      </c>
      <c r="I280" s="37">
        <v>773.0</v>
      </c>
      <c r="J280" s="25" t="s">
        <v>181</v>
      </c>
      <c r="K280" s="25" t="s">
        <v>2531</v>
      </c>
    </row>
    <row r="281" ht="15.75" customHeight="1">
      <c r="A281" s="27" t="s">
        <v>2813</v>
      </c>
      <c r="B281" s="27" t="s">
        <v>2501</v>
      </c>
      <c r="C281" s="27" t="s">
        <v>1287</v>
      </c>
      <c r="D281" s="27" t="s">
        <v>2541</v>
      </c>
      <c r="E281" s="33">
        <v>45342.0</v>
      </c>
      <c r="F281" s="33">
        <v>45891.0</v>
      </c>
      <c r="G281" s="40">
        <v>100.0</v>
      </c>
      <c r="H281" s="38">
        <v>4196.0</v>
      </c>
      <c r="I281" s="38">
        <v>3137.0</v>
      </c>
      <c r="J281" s="27" t="s">
        <v>181</v>
      </c>
      <c r="K281" s="27" t="s">
        <v>2531</v>
      </c>
    </row>
    <row r="282" ht="15.75" customHeight="1">
      <c r="A282" s="25" t="s">
        <v>2814</v>
      </c>
      <c r="B282" s="25" t="s">
        <v>2501</v>
      </c>
      <c r="C282" s="25" t="s">
        <v>1187</v>
      </c>
      <c r="D282" s="25" t="s">
        <v>2538</v>
      </c>
      <c r="E282" s="30">
        <v>45347.0</v>
      </c>
      <c r="F282" s="30">
        <v>45889.0</v>
      </c>
      <c r="G282" s="39">
        <v>25.0</v>
      </c>
      <c r="H282" s="37">
        <v>1292.0</v>
      </c>
      <c r="I282" s="37">
        <v>774.0</v>
      </c>
      <c r="J282" s="25" t="s">
        <v>181</v>
      </c>
      <c r="K282" s="25" t="s">
        <v>2515</v>
      </c>
    </row>
    <row r="283" ht="15.75" customHeight="1">
      <c r="A283" s="27" t="s">
        <v>2815</v>
      </c>
      <c r="B283" s="27" t="s">
        <v>2501</v>
      </c>
      <c r="C283" s="27" t="s">
        <v>1300</v>
      </c>
      <c r="D283" s="27" t="s">
        <v>2548</v>
      </c>
      <c r="E283" s="33">
        <v>45345.0</v>
      </c>
      <c r="F283" s="33">
        <v>45871.0</v>
      </c>
      <c r="G283" s="40">
        <v>50.0</v>
      </c>
      <c r="H283" s="38">
        <v>2991.0</v>
      </c>
      <c r="I283" s="38">
        <v>1503.0</v>
      </c>
      <c r="J283" s="27" t="s">
        <v>181</v>
      </c>
      <c r="K283" s="27" t="s">
        <v>2531</v>
      </c>
    </row>
    <row r="284" ht="15.75" customHeight="1">
      <c r="A284" s="25" t="s">
        <v>2816</v>
      </c>
      <c r="B284" s="25" t="s">
        <v>2501</v>
      </c>
      <c r="C284" s="25" t="s">
        <v>1293</v>
      </c>
      <c r="D284" s="25" t="s">
        <v>2548</v>
      </c>
      <c r="E284" s="30">
        <v>45348.0</v>
      </c>
      <c r="F284" s="30">
        <v>45897.0</v>
      </c>
      <c r="G284" s="39">
        <v>50.0</v>
      </c>
      <c r="H284" s="37">
        <v>1708.0</v>
      </c>
      <c r="I284" s="37">
        <v>1569.0</v>
      </c>
      <c r="J284" s="25" t="s">
        <v>187</v>
      </c>
      <c r="K284" s="25" t="s">
        <v>2520</v>
      </c>
    </row>
    <row r="285" ht="15.75" customHeight="1">
      <c r="A285" s="27" t="s">
        <v>2817</v>
      </c>
      <c r="B285" s="27" t="s">
        <v>2501</v>
      </c>
      <c r="C285" s="27" t="s">
        <v>1318</v>
      </c>
      <c r="D285" s="27" t="s">
        <v>2548</v>
      </c>
      <c r="E285" s="33">
        <v>45359.0</v>
      </c>
      <c r="F285" s="33">
        <v>45870.0</v>
      </c>
      <c r="G285" s="40">
        <v>50.0</v>
      </c>
      <c r="H285" s="38">
        <v>1150.0</v>
      </c>
      <c r="I285" s="38">
        <v>1460.0</v>
      </c>
      <c r="J285" s="27" t="s">
        <v>181</v>
      </c>
      <c r="K285" s="27" t="s">
        <v>2531</v>
      </c>
    </row>
    <row r="286" ht="15.75" customHeight="1">
      <c r="A286" s="25" t="s">
        <v>2818</v>
      </c>
      <c r="B286" s="25" t="s">
        <v>2501</v>
      </c>
      <c r="C286" s="25" t="s">
        <v>1449</v>
      </c>
      <c r="D286" s="25" t="s">
        <v>2548</v>
      </c>
      <c r="E286" s="30">
        <v>45354.0</v>
      </c>
      <c r="F286" s="30">
        <v>45880.0</v>
      </c>
      <c r="G286" s="39">
        <v>25.0</v>
      </c>
      <c r="H286" s="37">
        <v>2264.0</v>
      </c>
      <c r="I286" s="37">
        <v>751.0</v>
      </c>
      <c r="J286" s="25" t="s">
        <v>181</v>
      </c>
      <c r="K286" s="25" t="s">
        <v>2515</v>
      </c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A6F1E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6.0"/>
    <col customWidth="1" min="5" max="26" width="8.71"/>
  </cols>
  <sheetData>
    <row r="1" ht="30.0" customHeight="1">
      <c r="A1" s="23" t="s">
        <v>1479</v>
      </c>
      <c r="B1" s="23" t="s">
        <v>2427</v>
      </c>
      <c r="C1" s="23" t="s">
        <v>225</v>
      </c>
      <c r="D1" s="23" t="s">
        <v>2819</v>
      </c>
    </row>
    <row r="2">
      <c r="A2" s="25" t="s">
        <v>2820</v>
      </c>
      <c r="B2" s="25" t="s">
        <v>2437</v>
      </c>
      <c r="C2" s="25" t="s">
        <v>229</v>
      </c>
      <c r="D2" s="25" t="s">
        <v>2821</v>
      </c>
    </row>
    <row r="3">
      <c r="A3" s="27" t="s">
        <v>2822</v>
      </c>
      <c r="B3" s="27" t="s">
        <v>2437</v>
      </c>
      <c r="C3" s="27" t="s">
        <v>234</v>
      </c>
      <c r="D3" s="27" t="s">
        <v>2821</v>
      </c>
    </row>
    <row r="4">
      <c r="A4" s="25" t="s">
        <v>2823</v>
      </c>
      <c r="B4" s="25" t="s">
        <v>2437</v>
      </c>
      <c r="C4" s="25" t="s">
        <v>256</v>
      </c>
      <c r="D4" s="25" t="s">
        <v>2821</v>
      </c>
    </row>
    <row r="5">
      <c r="A5" s="27" t="s">
        <v>2824</v>
      </c>
      <c r="B5" s="27" t="s">
        <v>2437</v>
      </c>
      <c r="C5" s="27" t="s">
        <v>250</v>
      </c>
      <c r="D5" s="27" t="s">
        <v>2821</v>
      </c>
    </row>
    <row r="6">
      <c r="A6" s="25" t="s">
        <v>2825</v>
      </c>
      <c r="B6" s="25" t="s">
        <v>2437</v>
      </c>
      <c r="C6" s="25" t="s">
        <v>273</v>
      </c>
      <c r="D6" s="25" t="s">
        <v>2826</v>
      </c>
    </row>
    <row r="7">
      <c r="A7" s="27" t="s">
        <v>2827</v>
      </c>
      <c r="B7" s="27" t="s">
        <v>2437</v>
      </c>
      <c r="C7" s="27" t="s">
        <v>313</v>
      </c>
      <c r="D7" s="27" t="s">
        <v>2826</v>
      </c>
    </row>
    <row r="8">
      <c r="A8" s="25" t="s">
        <v>2828</v>
      </c>
      <c r="B8" s="25" t="s">
        <v>2437</v>
      </c>
      <c r="C8" s="25" t="s">
        <v>348</v>
      </c>
      <c r="D8" s="25" t="s">
        <v>2826</v>
      </c>
    </row>
    <row r="9">
      <c r="A9" s="27" t="s">
        <v>2829</v>
      </c>
      <c r="B9" s="27" t="s">
        <v>2443</v>
      </c>
      <c r="C9" s="27" t="s">
        <v>246</v>
      </c>
      <c r="D9" s="27" t="s">
        <v>2821</v>
      </c>
    </row>
    <row r="10">
      <c r="A10" s="25" t="s">
        <v>2830</v>
      </c>
      <c r="B10" s="25" t="s">
        <v>2443</v>
      </c>
      <c r="C10" s="25" t="s">
        <v>250</v>
      </c>
      <c r="D10" s="25" t="s">
        <v>2821</v>
      </c>
    </row>
    <row r="11">
      <c r="A11" s="27" t="s">
        <v>2831</v>
      </c>
      <c r="B11" s="27" t="s">
        <v>2443</v>
      </c>
      <c r="C11" s="27" t="s">
        <v>284</v>
      </c>
      <c r="D11" s="27" t="s">
        <v>2826</v>
      </c>
    </row>
    <row r="12">
      <c r="A12" s="25" t="s">
        <v>2832</v>
      </c>
      <c r="B12" s="25" t="s">
        <v>2443</v>
      </c>
      <c r="C12" s="25" t="s">
        <v>288</v>
      </c>
      <c r="D12" s="25" t="s">
        <v>2826</v>
      </c>
    </row>
    <row r="13">
      <c r="A13" s="27" t="s">
        <v>2833</v>
      </c>
      <c r="B13" s="27" t="s">
        <v>2443</v>
      </c>
      <c r="C13" s="27" t="s">
        <v>291</v>
      </c>
      <c r="D13" s="27" t="s">
        <v>2826</v>
      </c>
    </row>
    <row r="14">
      <c r="A14" s="25" t="s">
        <v>2834</v>
      </c>
      <c r="B14" s="25" t="s">
        <v>2443</v>
      </c>
      <c r="C14" s="25" t="s">
        <v>234</v>
      </c>
      <c r="D14" s="25" t="s">
        <v>2826</v>
      </c>
    </row>
    <row r="15">
      <c r="A15" s="27" t="s">
        <v>2835</v>
      </c>
      <c r="B15" s="27" t="s">
        <v>2448</v>
      </c>
      <c r="C15" s="27" t="s">
        <v>229</v>
      </c>
      <c r="D15" s="27" t="s">
        <v>2821</v>
      </c>
    </row>
    <row r="16">
      <c r="A16" s="25" t="s">
        <v>2836</v>
      </c>
      <c r="B16" s="25" t="s">
        <v>2448</v>
      </c>
      <c r="C16" s="25" t="s">
        <v>234</v>
      </c>
      <c r="D16" s="25" t="s">
        <v>2821</v>
      </c>
    </row>
    <row r="17">
      <c r="A17" s="27" t="s">
        <v>2837</v>
      </c>
      <c r="B17" s="27" t="s">
        <v>2448</v>
      </c>
      <c r="C17" s="27" t="s">
        <v>256</v>
      </c>
      <c r="D17" s="27" t="s">
        <v>2821</v>
      </c>
    </row>
    <row r="18">
      <c r="A18" s="25" t="s">
        <v>2838</v>
      </c>
      <c r="B18" s="25" t="s">
        <v>2448</v>
      </c>
      <c r="C18" s="25" t="s">
        <v>266</v>
      </c>
      <c r="D18" s="25" t="s">
        <v>2826</v>
      </c>
    </row>
    <row r="19">
      <c r="A19" s="27" t="s">
        <v>2839</v>
      </c>
      <c r="B19" s="27" t="s">
        <v>2448</v>
      </c>
      <c r="C19" s="27" t="s">
        <v>270</v>
      </c>
      <c r="D19" s="27" t="s">
        <v>2840</v>
      </c>
    </row>
    <row r="20">
      <c r="A20" s="25" t="s">
        <v>2841</v>
      </c>
      <c r="B20" s="25" t="s">
        <v>2448</v>
      </c>
      <c r="C20" s="25" t="s">
        <v>273</v>
      </c>
      <c r="D20" s="25" t="s">
        <v>2821</v>
      </c>
    </row>
    <row r="21" ht="15.75" customHeight="1">
      <c r="A21" s="27" t="s">
        <v>2842</v>
      </c>
      <c r="B21" s="27" t="s">
        <v>2448</v>
      </c>
      <c r="C21" s="27" t="s">
        <v>356</v>
      </c>
      <c r="D21" s="27" t="s">
        <v>2826</v>
      </c>
    </row>
    <row r="22" ht="15.75" customHeight="1">
      <c r="A22" s="25" t="s">
        <v>2843</v>
      </c>
      <c r="B22" s="25" t="s">
        <v>2453</v>
      </c>
      <c r="C22" s="25" t="s">
        <v>229</v>
      </c>
      <c r="D22" s="25" t="s">
        <v>2821</v>
      </c>
    </row>
    <row r="23" ht="15.75" customHeight="1">
      <c r="A23" s="27" t="s">
        <v>2844</v>
      </c>
      <c r="B23" s="27" t="s">
        <v>2453</v>
      </c>
      <c r="C23" s="27" t="s">
        <v>256</v>
      </c>
      <c r="D23" s="27" t="s">
        <v>2821</v>
      </c>
    </row>
    <row r="24" ht="15.75" customHeight="1">
      <c r="A24" s="25" t="s">
        <v>2845</v>
      </c>
      <c r="B24" s="25" t="s">
        <v>2453</v>
      </c>
      <c r="C24" s="25" t="s">
        <v>313</v>
      </c>
      <c r="D24" s="25" t="s">
        <v>2821</v>
      </c>
    </row>
    <row r="25" ht="15.75" customHeight="1">
      <c r="A25" s="27" t="s">
        <v>2846</v>
      </c>
      <c r="B25" s="27" t="s">
        <v>2453</v>
      </c>
      <c r="C25" s="27" t="s">
        <v>317</v>
      </c>
      <c r="D25" s="27" t="s">
        <v>2826</v>
      </c>
    </row>
    <row r="26" ht="15.75" customHeight="1">
      <c r="A26" s="25" t="s">
        <v>2847</v>
      </c>
      <c r="B26" s="25" t="s">
        <v>2453</v>
      </c>
      <c r="C26" s="25" t="s">
        <v>284</v>
      </c>
      <c r="D26" s="25" t="s">
        <v>2826</v>
      </c>
    </row>
    <row r="27" ht="15.75" customHeight="1">
      <c r="A27" s="27" t="s">
        <v>2848</v>
      </c>
      <c r="B27" s="27" t="s">
        <v>2453</v>
      </c>
      <c r="C27" s="27" t="s">
        <v>288</v>
      </c>
      <c r="D27" s="27" t="s">
        <v>2826</v>
      </c>
    </row>
    <row r="28" ht="15.75" customHeight="1">
      <c r="A28" s="25" t="s">
        <v>2849</v>
      </c>
      <c r="B28" s="25" t="s">
        <v>2457</v>
      </c>
      <c r="C28" s="25" t="s">
        <v>229</v>
      </c>
      <c r="D28" s="25" t="s">
        <v>2821</v>
      </c>
    </row>
    <row r="29" ht="15.75" customHeight="1">
      <c r="A29" s="27" t="s">
        <v>2850</v>
      </c>
      <c r="B29" s="27" t="s">
        <v>2457</v>
      </c>
      <c r="C29" s="27" t="s">
        <v>234</v>
      </c>
      <c r="D29" s="27" t="s">
        <v>2821</v>
      </c>
    </row>
    <row r="30" ht="15.75" customHeight="1">
      <c r="A30" s="25" t="s">
        <v>2851</v>
      </c>
      <c r="B30" s="25" t="s">
        <v>2457</v>
      </c>
      <c r="C30" s="25" t="s">
        <v>256</v>
      </c>
      <c r="D30" s="25" t="s">
        <v>2821</v>
      </c>
    </row>
    <row r="31" ht="15.75" customHeight="1">
      <c r="A31" s="27" t="s">
        <v>2852</v>
      </c>
      <c r="B31" s="27" t="s">
        <v>2457</v>
      </c>
      <c r="C31" s="27" t="s">
        <v>242</v>
      </c>
      <c r="D31" s="27" t="s">
        <v>2826</v>
      </c>
    </row>
    <row r="32" ht="15.75" customHeight="1">
      <c r="A32" s="25" t="s">
        <v>2853</v>
      </c>
      <c r="B32" s="25" t="s">
        <v>2457</v>
      </c>
      <c r="C32" s="25" t="s">
        <v>348</v>
      </c>
      <c r="D32" s="25" t="s">
        <v>2826</v>
      </c>
    </row>
    <row r="33" ht="15.75" customHeight="1">
      <c r="A33" s="27" t="s">
        <v>2854</v>
      </c>
      <c r="B33" s="27" t="s">
        <v>2461</v>
      </c>
      <c r="C33" s="27" t="s">
        <v>321</v>
      </c>
      <c r="D33" s="27" t="s">
        <v>2821</v>
      </c>
    </row>
    <row r="34" ht="15.75" customHeight="1">
      <c r="A34" s="25" t="s">
        <v>2855</v>
      </c>
      <c r="B34" s="25" t="s">
        <v>2461</v>
      </c>
      <c r="C34" s="25" t="s">
        <v>329</v>
      </c>
      <c r="D34" s="25" t="s">
        <v>2826</v>
      </c>
    </row>
    <row r="35" ht="15.75" customHeight="1">
      <c r="A35" s="27" t="s">
        <v>2856</v>
      </c>
      <c r="B35" s="27" t="s">
        <v>2461</v>
      </c>
      <c r="C35" s="27" t="s">
        <v>336</v>
      </c>
      <c r="D35" s="27" t="s">
        <v>2826</v>
      </c>
    </row>
    <row r="36" ht="15.75" customHeight="1">
      <c r="A36" s="25" t="s">
        <v>2857</v>
      </c>
      <c r="B36" s="25" t="s">
        <v>2466</v>
      </c>
      <c r="C36" s="25" t="s">
        <v>284</v>
      </c>
      <c r="D36" s="25" t="s">
        <v>2821</v>
      </c>
    </row>
    <row r="37" ht="15.75" customHeight="1">
      <c r="A37" s="27" t="s">
        <v>2858</v>
      </c>
      <c r="B37" s="27" t="s">
        <v>2466</v>
      </c>
      <c r="C37" s="27" t="s">
        <v>288</v>
      </c>
      <c r="D37" s="27" t="s">
        <v>2821</v>
      </c>
    </row>
    <row r="38" ht="15.75" customHeight="1">
      <c r="A38" s="25" t="s">
        <v>2859</v>
      </c>
      <c r="B38" s="25" t="s">
        <v>2466</v>
      </c>
      <c r="C38" s="25" t="s">
        <v>291</v>
      </c>
      <c r="D38" s="25" t="s">
        <v>2826</v>
      </c>
    </row>
    <row r="39" ht="15.75" customHeight="1">
      <c r="A39" s="27" t="s">
        <v>2860</v>
      </c>
      <c r="B39" s="27" t="s">
        <v>2466</v>
      </c>
      <c r="C39" s="27" t="s">
        <v>250</v>
      </c>
      <c r="D39" s="27" t="s">
        <v>2826</v>
      </c>
    </row>
    <row r="40" ht="15.75" customHeight="1">
      <c r="A40" s="25" t="s">
        <v>2861</v>
      </c>
      <c r="B40" s="25" t="s">
        <v>2470</v>
      </c>
      <c r="C40" s="25" t="s">
        <v>229</v>
      </c>
      <c r="D40" s="25" t="s">
        <v>2821</v>
      </c>
    </row>
    <row r="41" ht="15.75" customHeight="1">
      <c r="A41" s="27" t="s">
        <v>2862</v>
      </c>
      <c r="B41" s="27" t="s">
        <v>2470</v>
      </c>
      <c r="C41" s="27" t="s">
        <v>234</v>
      </c>
      <c r="D41" s="27" t="s">
        <v>2821</v>
      </c>
    </row>
    <row r="42" ht="15.75" customHeight="1">
      <c r="A42" s="25" t="s">
        <v>2863</v>
      </c>
      <c r="B42" s="25" t="s">
        <v>2470</v>
      </c>
      <c r="C42" s="25" t="s">
        <v>253</v>
      </c>
      <c r="D42" s="25" t="s">
        <v>2826</v>
      </c>
    </row>
    <row r="43" ht="15.75" customHeight="1">
      <c r="A43" s="27" t="s">
        <v>2864</v>
      </c>
      <c r="B43" s="27" t="s">
        <v>2470</v>
      </c>
      <c r="C43" s="27" t="s">
        <v>321</v>
      </c>
      <c r="D43" s="27" t="s">
        <v>2826</v>
      </c>
    </row>
    <row r="44" ht="15.75" customHeight="1">
      <c r="A44" s="25" t="s">
        <v>2865</v>
      </c>
      <c r="B44" s="25" t="s">
        <v>2475</v>
      </c>
      <c r="C44" s="25" t="s">
        <v>229</v>
      </c>
      <c r="D44" s="25" t="s">
        <v>2821</v>
      </c>
    </row>
    <row r="45" ht="15.75" customHeight="1">
      <c r="A45" s="27" t="s">
        <v>2866</v>
      </c>
      <c r="B45" s="27" t="s">
        <v>2475</v>
      </c>
      <c r="C45" s="27" t="s">
        <v>234</v>
      </c>
      <c r="D45" s="27" t="s">
        <v>2821</v>
      </c>
    </row>
    <row r="46" ht="15.75" customHeight="1">
      <c r="A46" s="25" t="s">
        <v>2867</v>
      </c>
      <c r="B46" s="25" t="s">
        <v>2475</v>
      </c>
      <c r="C46" s="25" t="s">
        <v>250</v>
      </c>
      <c r="D46" s="25" t="s">
        <v>2821</v>
      </c>
    </row>
    <row r="47" ht="15.75" customHeight="1">
      <c r="A47" s="27" t="s">
        <v>2868</v>
      </c>
      <c r="B47" s="27" t="s">
        <v>2475</v>
      </c>
      <c r="C47" s="27" t="s">
        <v>273</v>
      </c>
      <c r="D47" s="27" t="s">
        <v>2826</v>
      </c>
    </row>
    <row r="48" ht="15.75" customHeight="1">
      <c r="A48" s="25" t="s">
        <v>2869</v>
      </c>
      <c r="B48" s="25" t="s">
        <v>2475</v>
      </c>
      <c r="C48" s="25" t="s">
        <v>353</v>
      </c>
      <c r="D48" s="25" t="s">
        <v>2826</v>
      </c>
    </row>
    <row r="49" ht="15.75" customHeight="1">
      <c r="A49" s="27" t="s">
        <v>2870</v>
      </c>
      <c r="B49" s="27" t="s">
        <v>2479</v>
      </c>
      <c r="C49" s="27" t="s">
        <v>229</v>
      </c>
      <c r="D49" s="27" t="s">
        <v>2821</v>
      </c>
    </row>
    <row r="50" ht="15.75" customHeight="1">
      <c r="A50" s="25" t="s">
        <v>2871</v>
      </c>
      <c r="B50" s="25" t="s">
        <v>2479</v>
      </c>
      <c r="C50" s="25" t="s">
        <v>256</v>
      </c>
      <c r="D50" s="25" t="s">
        <v>2821</v>
      </c>
    </row>
    <row r="51" ht="15.75" customHeight="1">
      <c r="A51" s="27" t="s">
        <v>2872</v>
      </c>
      <c r="B51" s="27" t="s">
        <v>2479</v>
      </c>
      <c r="C51" s="27" t="s">
        <v>260</v>
      </c>
      <c r="D51" s="27" t="s">
        <v>2821</v>
      </c>
    </row>
    <row r="52" ht="15.75" customHeight="1">
      <c r="A52" s="25" t="s">
        <v>2873</v>
      </c>
      <c r="B52" s="25" t="s">
        <v>2479</v>
      </c>
      <c r="C52" s="25" t="s">
        <v>263</v>
      </c>
      <c r="D52" s="25" t="s">
        <v>2826</v>
      </c>
    </row>
    <row r="53" ht="15.75" customHeight="1">
      <c r="A53" s="27" t="s">
        <v>2874</v>
      </c>
      <c r="B53" s="27" t="s">
        <v>2479</v>
      </c>
      <c r="C53" s="27" t="s">
        <v>356</v>
      </c>
      <c r="D53" s="27" t="s">
        <v>2826</v>
      </c>
    </row>
    <row r="54" ht="15.75" customHeight="1">
      <c r="A54" s="25" t="s">
        <v>2875</v>
      </c>
      <c r="B54" s="25" t="s">
        <v>2483</v>
      </c>
      <c r="C54" s="25" t="s">
        <v>229</v>
      </c>
      <c r="D54" s="25" t="s">
        <v>2821</v>
      </c>
    </row>
    <row r="55" ht="15.75" customHeight="1">
      <c r="A55" s="27" t="s">
        <v>2876</v>
      </c>
      <c r="B55" s="27" t="s">
        <v>2483</v>
      </c>
      <c r="C55" s="27" t="s">
        <v>260</v>
      </c>
      <c r="D55" s="27" t="s">
        <v>2821</v>
      </c>
    </row>
    <row r="56" ht="15.75" customHeight="1">
      <c r="A56" s="25" t="s">
        <v>2877</v>
      </c>
      <c r="B56" s="25" t="s">
        <v>2483</v>
      </c>
      <c r="C56" s="25" t="s">
        <v>263</v>
      </c>
      <c r="D56" s="25" t="s">
        <v>2821</v>
      </c>
    </row>
    <row r="57" ht="15.75" customHeight="1">
      <c r="A57" s="27" t="s">
        <v>2878</v>
      </c>
      <c r="B57" s="27" t="s">
        <v>2483</v>
      </c>
      <c r="C57" s="27" t="s">
        <v>284</v>
      </c>
      <c r="D57" s="27" t="s">
        <v>2826</v>
      </c>
    </row>
    <row r="58" ht="15.75" customHeight="1">
      <c r="A58" s="25" t="s">
        <v>2879</v>
      </c>
      <c r="B58" s="25" t="s">
        <v>2488</v>
      </c>
      <c r="C58" s="25" t="s">
        <v>250</v>
      </c>
      <c r="D58" s="25" t="s">
        <v>2821</v>
      </c>
    </row>
    <row r="59" ht="15.75" customHeight="1">
      <c r="A59" s="27" t="s">
        <v>2880</v>
      </c>
      <c r="B59" s="27" t="s">
        <v>2488</v>
      </c>
      <c r="C59" s="27" t="s">
        <v>309</v>
      </c>
      <c r="D59" s="27" t="s">
        <v>2821</v>
      </c>
    </row>
    <row r="60" ht="15.75" customHeight="1">
      <c r="A60" s="25" t="s">
        <v>2881</v>
      </c>
      <c r="B60" s="25" t="s">
        <v>2488</v>
      </c>
      <c r="C60" s="25" t="s">
        <v>277</v>
      </c>
      <c r="D60" s="25" t="s">
        <v>2826</v>
      </c>
    </row>
    <row r="61" ht="15.75" customHeight="1">
      <c r="A61" s="27" t="s">
        <v>2882</v>
      </c>
      <c r="B61" s="27" t="s">
        <v>2488</v>
      </c>
      <c r="C61" s="27" t="s">
        <v>234</v>
      </c>
      <c r="D61" s="27" t="s">
        <v>2821</v>
      </c>
    </row>
    <row r="62" ht="15.75" customHeight="1">
      <c r="A62" s="25" t="s">
        <v>2883</v>
      </c>
      <c r="B62" s="25" t="s">
        <v>2488</v>
      </c>
      <c r="C62" s="25" t="s">
        <v>273</v>
      </c>
      <c r="D62" s="25" t="s">
        <v>2826</v>
      </c>
    </row>
    <row r="63" ht="15.75" customHeight="1">
      <c r="A63" s="27" t="s">
        <v>2884</v>
      </c>
      <c r="B63" s="27" t="s">
        <v>2492</v>
      </c>
      <c r="C63" s="27" t="s">
        <v>229</v>
      </c>
      <c r="D63" s="27" t="s">
        <v>2821</v>
      </c>
    </row>
    <row r="64" ht="15.75" customHeight="1">
      <c r="A64" s="25" t="s">
        <v>2885</v>
      </c>
      <c r="B64" s="25" t="s">
        <v>2492</v>
      </c>
      <c r="C64" s="25" t="s">
        <v>256</v>
      </c>
      <c r="D64" s="25" t="s">
        <v>2821</v>
      </c>
    </row>
    <row r="65" ht="15.75" customHeight="1">
      <c r="A65" s="27" t="s">
        <v>2886</v>
      </c>
      <c r="B65" s="27" t="s">
        <v>2492</v>
      </c>
      <c r="C65" s="27" t="s">
        <v>260</v>
      </c>
      <c r="D65" s="27" t="s">
        <v>2821</v>
      </c>
    </row>
    <row r="66" ht="15.75" customHeight="1">
      <c r="A66" s="25" t="s">
        <v>2887</v>
      </c>
      <c r="B66" s="25" t="s">
        <v>2492</v>
      </c>
      <c r="C66" s="25" t="s">
        <v>263</v>
      </c>
      <c r="D66" s="25" t="s">
        <v>2821</v>
      </c>
    </row>
    <row r="67" ht="15.75" customHeight="1">
      <c r="A67" s="27" t="s">
        <v>2888</v>
      </c>
      <c r="B67" s="27" t="s">
        <v>2492</v>
      </c>
      <c r="C67" s="27" t="s">
        <v>250</v>
      </c>
      <c r="D67" s="27" t="s">
        <v>2826</v>
      </c>
    </row>
    <row r="68" ht="15.75" customHeight="1">
      <c r="A68" s="25" t="s">
        <v>2889</v>
      </c>
      <c r="B68" s="25" t="s">
        <v>2492</v>
      </c>
      <c r="C68" s="25" t="s">
        <v>362</v>
      </c>
      <c r="D68" s="25" t="s">
        <v>2826</v>
      </c>
    </row>
    <row r="69" ht="15.75" customHeight="1">
      <c r="A69" s="27" t="s">
        <v>2890</v>
      </c>
      <c r="B69" s="27" t="s">
        <v>2496</v>
      </c>
      <c r="C69" s="27" t="s">
        <v>321</v>
      </c>
      <c r="D69" s="27" t="s">
        <v>2821</v>
      </c>
    </row>
    <row r="70" ht="15.75" customHeight="1">
      <c r="A70" s="25" t="s">
        <v>2891</v>
      </c>
      <c r="B70" s="25" t="s">
        <v>2496</v>
      </c>
      <c r="C70" s="25" t="s">
        <v>329</v>
      </c>
      <c r="D70" s="25" t="s">
        <v>2826</v>
      </c>
    </row>
    <row r="71" ht="15.75" customHeight="1">
      <c r="A71" s="27" t="s">
        <v>2892</v>
      </c>
      <c r="B71" s="27" t="s">
        <v>2496</v>
      </c>
      <c r="C71" s="27" t="s">
        <v>336</v>
      </c>
      <c r="D71" s="27" t="s">
        <v>2826</v>
      </c>
    </row>
    <row r="72" ht="15.75" customHeight="1">
      <c r="A72" s="25" t="s">
        <v>2893</v>
      </c>
      <c r="B72" s="25" t="s">
        <v>2501</v>
      </c>
      <c r="C72" s="25" t="s">
        <v>229</v>
      </c>
      <c r="D72" s="25" t="s">
        <v>2821</v>
      </c>
    </row>
    <row r="73" ht="15.75" customHeight="1">
      <c r="A73" s="27" t="s">
        <v>2894</v>
      </c>
      <c r="B73" s="27" t="s">
        <v>2501</v>
      </c>
      <c r="C73" s="27" t="s">
        <v>238</v>
      </c>
      <c r="D73" s="27" t="s">
        <v>2821</v>
      </c>
    </row>
    <row r="74" ht="15.75" customHeight="1">
      <c r="A74" s="25" t="s">
        <v>2895</v>
      </c>
      <c r="B74" s="25" t="s">
        <v>2501</v>
      </c>
      <c r="C74" s="25" t="s">
        <v>242</v>
      </c>
      <c r="D74" s="25" t="s">
        <v>2826</v>
      </c>
    </row>
    <row r="75" ht="15.75" customHeight="1">
      <c r="A75" s="27" t="s">
        <v>2896</v>
      </c>
      <c r="B75" s="27" t="s">
        <v>2501</v>
      </c>
      <c r="C75" s="27" t="s">
        <v>253</v>
      </c>
      <c r="D75" s="27" t="s">
        <v>2826</v>
      </c>
    </row>
    <row r="76" ht="15.75" customHeight="1">
      <c r="A76" s="25" t="s">
        <v>2897</v>
      </c>
      <c r="B76" s="25" t="s">
        <v>2501</v>
      </c>
      <c r="C76" s="25" t="s">
        <v>256</v>
      </c>
      <c r="D76" s="25" t="s">
        <v>2821</v>
      </c>
    </row>
    <row r="77" ht="15.75" customHeight="1">
      <c r="A77" s="27" t="s">
        <v>2898</v>
      </c>
      <c r="B77" s="27" t="s">
        <v>2501</v>
      </c>
      <c r="C77" s="27" t="s">
        <v>359</v>
      </c>
      <c r="D77" s="27" t="s">
        <v>2826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7A589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42.0"/>
    <col customWidth="1" min="4" max="4" width="22.0"/>
    <col customWidth="1" min="5" max="5" width="14.0"/>
    <col customWidth="1" min="6" max="7" width="13.0"/>
    <col customWidth="1" min="8" max="8" width="10.0"/>
    <col customWidth="1" min="9" max="9" width="16.0"/>
    <col customWidth="1" min="10" max="26" width="8.71"/>
  </cols>
  <sheetData>
    <row r="1" ht="30.0" customHeight="1">
      <c r="A1" s="23" t="s">
        <v>2899</v>
      </c>
      <c r="B1" s="23" t="s">
        <v>378</v>
      </c>
      <c r="C1" s="23" t="s">
        <v>2900</v>
      </c>
      <c r="D1" s="23" t="s">
        <v>2901</v>
      </c>
      <c r="E1" s="23" t="s">
        <v>2902</v>
      </c>
      <c r="F1" s="23" t="s">
        <v>2903</v>
      </c>
      <c r="G1" s="23" t="s">
        <v>2904</v>
      </c>
      <c r="H1" s="23" t="s">
        <v>62</v>
      </c>
      <c r="I1" s="23" t="s">
        <v>2905</v>
      </c>
    </row>
    <row r="2">
      <c r="A2" s="25" t="s">
        <v>2906</v>
      </c>
      <c r="B2" s="25" t="s">
        <v>150</v>
      </c>
      <c r="C2" s="25" t="s">
        <v>2907</v>
      </c>
      <c r="D2" s="25" t="s">
        <v>2908</v>
      </c>
      <c r="E2" s="25" t="s">
        <v>288</v>
      </c>
      <c r="F2" s="30">
        <v>45104.0</v>
      </c>
      <c r="G2" s="30">
        <v>46200.0</v>
      </c>
      <c r="H2" s="25" t="s">
        <v>65</v>
      </c>
      <c r="I2" s="25" t="s">
        <v>2909</v>
      </c>
    </row>
    <row r="3">
      <c r="A3" s="27" t="s">
        <v>2910</v>
      </c>
      <c r="B3" s="27" t="s">
        <v>443</v>
      </c>
      <c r="C3" s="27" t="s">
        <v>2911</v>
      </c>
      <c r="D3" s="27" t="s">
        <v>2912</v>
      </c>
      <c r="E3" s="27" t="s">
        <v>329</v>
      </c>
      <c r="F3" s="33">
        <v>45075.0</v>
      </c>
      <c r="G3" s="33">
        <v>46171.0</v>
      </c>
      <c r="H3" s="27" t="s">
        <v>65</v>
      </c>
      <c r="I3" s="27" t="s">
        <v>2913</v>
      </c>
    </row>
    <row r="4">
      <c r="A4" s="25" t="s">
        <v>2914</v>
      </c>
      <c r="B4" s="25" t="s">
        <v>443</v>
      </c>
      <c r="C4" s="25" t="s">
        <v>2915</v>
      </c>
      <c r="D4" s="25" t="s">
        <v>2916</v>
      </c>
      <c r="E4" s="25" t="s">
        <v>253</v>
      </c>
      <c r="F4" s="30">
        <v>44742.0</v>
      </c>
      <c r="G4" s="30">
        <v>45838.0</v>
      </c>
      <c r="H4" s="25" t="s">
        <v>65</v>
      </c>
      <c r="I4" s="25" t="s">
        <v>2917</v>
      </c>
    </row>
    <row r="5">
      <c r="A5" s="27" t="s">
        <v>2918</v>
      </c>
      <c r="B5" s="27" t="s">
        <v>453</v>
      </c>
      <c r="C5" s="27" t="s">
        <v>2911</v>
      </c>
      <c r="D5" s="27" t="s">
        <v>2912</v>
      </c>
      <c r="E5" s="27" t="s">
        <v>329</v>
      </c>
      <c r="F5" s="33">
        <v>45241.0</v>
      </c>
      <c r="G5" s="33">
        <v>46337.0</v>
      </c>
      <c r="H5" s="27" t="s">
        <v>65</v>
      </c>
      <c r="I5" s="27" t="s">
        <v>2919</v>
      </c>
    </row>
    <row r="6">
      <c r="A6" s="25" t="s">
        <v>2920</v>
      </c>
      <c r="B6" s="25" t="s">
        <v>453</v>
      </c>
      <c r="C6" s="25" t="s">
        <v>2921</v>
      </c>
      <c r="D6" s="25" t="s">
        <v>278</v>
      </c>
      <c r="E6" s="25" t="s">
        <v>277</v>
      </c>
      <c r="F6" s="30">
        <v>45201.0</v>
      </c>
      <c r="G6" s="30">
        <v>46297.0</v>
      </c>
      <c r="H6" s="25" t="s">
        <v>65</v>
      </c>
      <c r="I6" s="25" t="s">
        <v>2922</v>
      </c>
    </row>
    <row r="7">
      <c r="A7" s="27" t="s">
        <v>2923</v>
      </c>
      <c r="B7" s="27" t="s">
        <v>464</v>
      </c>
      <c r="C7" s="27" t="s">
        <v>2924</v>
      </c>
      <c r="D7" s="27" t="s">
        <v>2925</v>
      </c>
      <c r="E7" s="27" t="s">
        <v>266</v>
      </c>
      <c r="F7" s="33">
        <v>44771.0</v>
      </c>
      <c r="G7" s="33">
        <v>45867.0</v>
      </c>
      <c r="H7" s="27" t="s">
        <v>65</v>
      </c>
      <c r="I7" s="27" t="s">
        <v>2926</v>
      </c>
    </row>
    <row r="8">
      <c r="A8" s="25" t="s">
        <v>2927</v>
      </c>
      <c r="B8" s="25" t="s">
        <v>515</v>
      </c>
      <c r="C8" s="25" t="s">
        <v>2924</v>
      </c>
      <c r="D8" s="25" t="s">
        <v>2925</v>
      </c>
      <c r="E8" s="25" t="s">
        <v>266</v>
      </c>
      <c r="F8" s="30">
        <v>45306.0</v>
      </c>
      <c r="G8" s="30">
        <v>46402.0</v>
      </c>
      <c r="H8" s="25" t="s">
        <v>65</v>
      </c>
      <c r="I8" s="25" t="s">
        <v>2928</v>
      </c>
    </row>
    <row r="9">
      <c r="A9" s="27" t="s">
        <v>2929</v>
      </c>
      <c r="B9" s="27" t="s">
        <v>515</v>
      </c>
      <c r="C9" s="27" t="s">
        <v>2930</v>
      </c>
      <c r="D9" s="27" t="s">
        <v>2931</v>
      </c>
      <c r="E9" s="27" t="s">
        <v>246</v>
      </c>
      <c r="F9" s="33">
        <v>43604.0</v>
      </c>
      <c r="G9" s="33">
        <v>44700.0</v>
      </c>
      <c r="H9" s="27" t="s">
        <v>2932</v>
      </c>
      <c r="I9" s="27" t="s">
        <v>2933</v>
      </c>
    </row>
    <row r="10">
      <c r="A10" s="25" t="s">
        <v>2934</v>
      </c>
      <c r="B10" s="25" t="s">
        <v>535</v>
      </c>
      <c r="C10" s="25" t="s">
        <v>2935</v>
      </c>
      <c r="D10" s="25" t="s">
        <v>2936</v>
      </c>
      <c r="E10" s="25" t="s">
        <v>291</v>
      </c>
      <c r="F10" s="30">
        <v>45638.0</v>
      </c>
      <c r="G10" s="30">
        <v>46733.0</v>
      </c>
      <c r="H10" s="25" t="s">
        <v>65</v>
      </c>
      <c r="I10" s="25" t="s">
        <v>2937</v>
      </c>
    </row>
    <row r="11">
      <c r="A11" s="27" t="s">
        <v>2938</v>
      </c>
      <c r="B11" s="27" t="s">
        <v>562</v>
      </c>
      <c r="C11" s="27" t="s">
        <v>2939</v>
      </c>
      <c r="D11" s="27" t="s">
        <v>274</v>
      </c>
      <c r="E11" s="27" t="s">
        <v>238</v>
      </c>
      <c r="F11" s="33">
        <v>44227.0</v>
      </c>
      <c r="G11" s="33">
        <v>45322.0</v>
      </c>
      <c r="H11" s="27" t="s">
        <v>2932</v>
      </c>
      <c r="I11" s="27" t="s">
        <v>2940</v>
      </c>
    </row>
    <row r="12">
      <c r="A12" s="25" t="s">
        <v>2941</v>
      </c>
      <c r="B12" s="25" t="s">
        <v>562</v>
      </c>
      <c r="C12" s="25" t="s">
        <v>2942</v>
      </c>
      <c r="D12" s="25" t="s">
        <v>2943</v>
      </c>
      <c r="E12" s="25" t="s">
        <v>270</v>
      </c>
      <c r="F12" s="30">
        <v>44470.0</v>
      </c>
      <c r="G12" s="30">
        <v>45566.0</v>
      </c>
      <c r="H12" s="25" t="s">
        <v>2932</v>
      </c>
      <c r="I12" s="25" t="s">
        <v>2944</v>
      </c>
    </row>
    <row r="13">
      <c r="A13" s="27" t="s">
        <v>2945</v>
      </c>
      <c r="B13" s="27" t="s">
        <v>613</v>
      </c>
      <c r="C13" s="27" t="s">
        <v>2911</v>
      </c>
      <c r="D13" s="27" t="s">
        <v>2912</v>
      </c>
      <c r="E13" s="27" t="s">
        <v>329</v>
      </c>
      <c r="F13" s="33">
        <v>44813.0</v>
      </c>
      <c r="G13" s="33">
        <v>45909.0</v>
      </c>
      <c r="H13" s="27" t="s">
        <v>65</v>
      </c>
      <c r="I13" s="27" t="s">
        <v>2946</v>
      </c>
    </row>
    <row r="14">
      <c r="A14" s="25" t="s">
        <v>2947</v>
      </c>
      <c r="B14" s="25" t="s">
        <v>620</v>
      </c>
      <c r="C14" s="25" t="s">
        <v>2942</v>
      </c>
      <c r="D14" s="25" t="s">
        <v>2943</v>
      </c>
      <c r="E14" s="25" t="s">
        <v>270</v>
      </c>
      <c r="F14" s="30">
        <v>44783.0</v>
      </c>
      <c r="G14" s="30">
        <v>45879.0</v>
      </c>
      <c r="H14" s="25" t="s">
        <v>65</v>
      </c>
      <c r="I14" s="25" t="s">
        <v>2948</v>
      </c>
    </row>
    <row r="15">
      <c r="A15" s="27" t="s">
        <v>2949</v>
      </c>
      <c r="B15" s="27" t="s">
        <v>628</v>
      </c>
      <c r="C15" s="27" t="s">
        <v>2939</v>
      </c>
      <c r="D15" s="27" t="s">
        <v>274</v>
      </c>
      <c r="E15" s="27" t="s">
        <v>238</v>
      </c>
      <c r="F15" s="33">
        <v>44627.0</v>
      </c>
      <c r="G15" s="33">
        <v>45723.0</v>
      </c>
      <c r="H15" s="27" t="s">
        <v>65</v>
      </c>
      <c r="I15" s="27" t="s">
        <v>2950</v>
      </c>
    </row>
    <row r="16">
      <c r="A16" s="25" t="s">
        <v>2951</v>
      </c>
      <c r="B16" s="25" t="s">
        <v>651</v>
      </c>
      <c r="C16" s="25" t="s">
        <v>2911</v>
      </c>
      <c r="D16" s="25" t="s">
        <v>2912</v>
      </c>
      <c r="E16" s="25" t="s">
        <v>329</v>
      </c>
      <c r="F16" s="30">
        <v>43772.0</v>
      </c>
      <c r="G16" s="30">
        <v>44868.0</v>
      </c>
      <c r="H16" s="25" t="s">
        <v>2932</v>
      </c>
      <c r="I16" s="25" t="s">
        <v>2952</v>
      </c>
    </row>
    <row r="17">
      <c r="A17" s="27" t="s">
        <v>2953</v>
      </c>
      <c r="B17" s="27" t="s">
        <v>658</v>
      </c>
      <c r="C17" s="27" t="s">
        <v>2939</v>
      </c>
      <c r="D17" s="27" t="s">
        <v>274</v>
      </c>
      <c r="E17" s="27" t="s">
        <v>238</v>
      </c>
      <c r="F17" s="33">
        <v>45248.0</v>
      </c>
      <c r="G17" s="33">
        <v>46344.0</v>
      </c>
      <c r="H17" s="27" t="s">
        <v>65</v>
      </c>
      <c r="I17" s="27" t="s">
        <v>2954</v>
      </c>
    </row>
    <row r="18">
      <c r="A18" s="25" t="s">
        <v>2955</v>
      </c>
      <c r="B18" s="25" t="s">
        <v>658</v>
      </c>
      <c r="C18" s="25" t="s">
        <v>2956</v>
      </c>
      <c r="D18" s="25" t="s">
        <v>2957</v>
      </c>
      <c r="E18" s="25" t="s">
        <v>321</v>
      </c>
      <c r="F18" s="30">
        <v>44777.0</v>
      </c>
      <c r="G18" s="30">
        <v>45873.0</v>
      </c>
      <c r="H18" s="25" t="s">
        <v>65</v>
      </c>
      <c r="I18" s="25" t="s">
        <v>2958</v>
      </c>
    </row>
    <row r="19">
      <c r="A19" s="27" t="s">
        <v>2959</v>
      </c>
      <c r="B19" s="27" t="s">
        <v>675</v>
      </c>
      <c r="C19" s="27" t="s">
        <v>2921</v>
      </c>
      <c r="D19" s="27" t="s">
        <v>278</v>
      </c>
      <c r="E19" s="27" t="s">
        <v>277</v>
      </c>
      <c r="F19" s="33">
        <v>44590.0</v>
      </c>
      <c r="G19" s="33">
        <v>45686.0</v>
      </c>
      <c r="H19" s="27" t="s">
        <v>65</v>
      </c>
      <c r="I19" s="27" t="s">
        <v>2960</v>
      </c>
    </row>
    <row r="20">
      <c r="A20" s="25" t="s">
        <v>2961</v>
      </c>
      <c r="B20" s="25" t="s">
        <v>675</v>
      </c>
      <c r="C20" s="25" t="s">
        <v>2962</v>
      </c>
      <c r="D20" s="25" t="s">
        <v>2931</v>
      </c>
      <c r="E20" s="25" t="s">
        <v>246</v>
      </c>
      <c r="F20" s="30">
        <v>43954.0</v>
      </c>
      <c r="G20" s="30">
        <v>45049.0</v>
      </c>
      <c r="H20" s="25" t="s">
        <v>2932</v>
      </c>
      <c r="I20" s="25" t="s">
        <v>2963</v>
      </c>
    </row>
    <row r="21" ht="15.75" customHeight="1">
      <c r="A21" s="27" t="s">
        <v>2964</v>
      </c>
      <c r="B21" s="27" t="s">
        <v>682</v>
      </c>
      <c r="C21" s="27" t="s">
        <v>2935</v>
      </c>
      <c r="D21" s="27" t="s">
        <v>2936</v>
      </c>
      <c r="E21" s="27" t="s">
        <v>291</v>
      </c>
      <c r="F21" s="33">
        <v>44804.0</v>
      </c>
      <c r="G21" s="33">
        <v>45900.0</v>
      </c>
      <c r="H21" s="27" t="s">
        <v>65</v>
      </c>
      <c r="I21" s="27" t="s">
        <v>2965</v>
      </c>
    </row>
    <row r="22" ht="15.75" customHeight="1">
      <c r="A22" s="25" t="s">
        <v>2966</v>
      </c>
      <c r="B22" s="25" t="s">
        <v>698</v>
      </c>
      <c r="C22" s="25" t="s">
        <v>2915</v>
      </c>
      <c r="D22" s="25" t="s">
        <v>2916</v>
      </c>
      <c r="E22" s="25" t="s">
        <v>253</v>
      </c>
      <c r="F22" s="30">
        <v>43539.0</v>
      </c>
      <c r="G22" s="30">
        <v>44635.0</v>
      </c>
      <c r="H22" s="25" t="s">
        <v>2932</v>
      </c>
      <c r="I22" s="25" t="s">
        <v>2967</v>
      </c>
    </row>
    <row r="23" ht="15.75" customHeight="1">
      <c r="A23" s="27" t="s">
        <v>2968</v>
      </c>
      <c r="B23" s="27" t="s">
        <v>705</v>
      </c>
      <c r="C23" s="27" t="s">
        <v>2935</v>
      </c>
      <c r="D23" s="27" t="s">
        <v>2936</v>
      </c>
      <c r="E23" s="27" t="s">
        <v>291</v>
      </c>
      <c r="F23" s="33">
        <v>45357.0</v>
      </c>
      <c r="G23" s="33">
        <v>46452.0</v>
      </c>
      <c r="H23" s="27" t="s">
        <v>65</v>
      </c>
      <c r="I23" s="27" t="s">
        <v>2969</v>
      </c>
    </row>
    <row r="24" ht="15.75" customHeight="1">
      <c r="A24" s="25" t="s">
        <v>2970</v>
      </c>
      <c r="B24" s="25" t="s">
        <v>705</v>
      </c>
      <c r="C24" s="25" t="s">
        <v>2962</v>
      </c>
      <c r="D24" s="25" t="s">
        <v>2931</v>
      </c>
      <c r="E24" s="25" t="s">
        <v>246</v>
      </c>
      <c r="F24" s="30">
        <v>44002.0</v>
      </c>
      <c r="G24" s="30">
        <v>45097.0</v>
      </c>
      <c r="H24" s="25" t="s">
        <v>2932</v>
      </c>
      <c r="I24" s="25" t="s">
        <v>2971</v>
      </c>
    </row>
    <row r="25" ht="15.75" customHeight="1">
      <c r="A25" s="27" t="s">
        <v>2972</v>
      </c>
      <c r="B25" s="27" t="s">
        <v>712</v>
      </c>
      <c r="C25" s="27" t="s">
        <v>2962</v>
      </c>
      <c r="D25" s="27" t="s">
        <v>2931</v>
      </c>
      <c r="E25" s="27" t="s">
        <v>246</v>
      </c>
      <c r="F25" s="33">
        <v>43626.0</v>
      </c>
      <c r="G25" s="33">
        <v>44722.0</v>
      </c>
      <c r="H25" s="27" t="s">
        <v>2932</v>
      </c>
      <c r="I25" s="27" t="s">
        <v>2973</v>
      </c>
    </row>
    <row r="26" ht="15.75" customHeight="1">
      <c r="A26" s="25" t="s">
        <v>2974</v>
      </c>
      <c r="B26" s="25" t="s">
        <v>712</v>
      </c>
      <c r="C26" s="25" t="s">
        <v>2907</v>
      </c>
      <c r="D26" s="25" t="s">
        <v>2908</v>
      </c>
      <c r="E26" s="25" t="s">
        <v>288</v>
      </c>
      <c r="F26" s="30">
        <v>43532.0</v>
      </c>
      <c r="G26" s="30">
        <v>44628.0</v>
      </c>
      <c r="H26" s="25" t="s">
        <v>2932</v>
      </c>
      <c r="I26" s="25" t="s">
        <v>2975</v>
      </c>
    </row>
    <row r="27" ht="15.75" customHeight="1">
      <c r="A27" s="27" t="s">
        <v>2976</v>
      </c>
      <c r="B27" s="27" t="s">
        <v>712</v>
      </c>
      <c r="C27" s="27" t="s">
        <v>2942</v>
      </c>
      <c r="D27" s="27" t="s">
        <v>2943</v>
      </c>
      <c r="E27" s="27" t="s">
        <v>270</v>
      </c>
      <c r="F27" s="33">
        <v>45390.0</v>
      </c>
      <c r="G27" s="33">
        <v>46485.0</v>
      </c>
      <c r="H27" s="27" t="s">
        <v>65</v>
      </c>
      <c r="I27" s="27" t="s">
        <v>2977</v>
      </c>
    </row>
    <row r="28" ht="15.75" customHeight="1">
      <c r="A28" s="25" t="s">
        <v>2978</v>
      </c>
      <c r="B28" s="25" t="s">
        <v>721</v>
      </c>
      <c r="C28" s="25" t="s">
        <v>2939</v>
      </c>
      <c r="D28" s="25" t="s">
        <v>274</v>
      </c>
      <c r="E28" s="25" t="s">
        <v>238</v>
      </c>
      <c r="F28" s="30">
        <v>44698.0</v>
      </c>
      <c r="G28" s="30">
        <v>45794.0</v>
      </c>
      <c r="H28" s="25" t="s">
        <v>65</v>
      </c>
      <c r="I28" s="25" t="s">
        <v>2979</v>
      </c>
    </row>
    <row r="29" ht="15.75" customHeight="1">
      <c r="A29" s="27" t="s">
        <v>2980</v>
      </c>
      <c r="B29" s="27" t="s">
        <v>721</v>
      </c>
      <c r="C29" s="27" t="s">
        <v>2911</v>
      </c>
      <c r="D29" s="27" t="s">
        <v>2912</v>
      </c>
      <c r="E29" s="27" t="s">
        <v>329</v>
      </c>
      <c r="F29" s="33">
        <v>44765.0</v>
      </c>
      <c r="G29" s="33">
        <v>45861.0</v>
      </c>
      <c r="H29" s="27" t="s">
        <v>65</v>
      </c>
      <c r="I29" s="27" t="s">
        <v>2981</v>
      </c>
    </row>
    <row r="30" ht="15.75" customHeight="1">
      <c r="A30" s="25" t="s">
        <v>2982</v>
      </c>
      <c r="B30" s="25" t="s">
        <v>744</v>
      </c>
      <c r="C30" s="25" t="s">
        <v>2921</v>
      </c>
      <c r="D30" s="25" t="s">
        <v>278</v>
      </c>
      <c r="E30" s="25" t="s">
        <v>277</v>
      </c>
      <c r="F30" s="30">
        <v>43658.0</v>
      </c>
      <c r="G30" s="30">
        <v>44754.0</v>
      </c>
      <c r="H30" s="25" t="s">
        <v>2932</v>
      </c>
      <c r="I30" s="25" t="s">
        <v>2983</v>
      </c>
    </row>
    <row r="31" ht="15.75" customHeight="1">
      <c r="A31" s="27" t="s">
        <v>2984</v>
      </c>
      <c r="B31" s="27" t="s">
        <v>744</v>
      </c>
      <c r="C31" s="27" t="s">
        <v>2935</v>
      </c>
      <c r="D31" s="27" t="s">
        <v>2936</v>
      </c>
      <c r="E31" s="27" t="s">
        <v>291</v>
      </c>
      <c r="F31" s="33">
        <v>44688.0</v>
      </c>
      <c r="G31" s="33">
        <v>45784.0</v>
      </c>
      <c r="H31" s="27" t="s">
        <v>65</v>
      </c>
      <c r="I31" s="27" t="s">
        <v>2985</v>
      </c>
    </row>
    <row r="32" ht="15.75" customHeight="1">
      <c r="A32" s="25" t="s">
        <v>2986</v>
      </c>
      <c r="B32" s="25" t="s">
        <v>750</v>
      </c>
      <c r="C32" s="25" t="s">
        <v>2921</v>
      </c>
      <c r="D32" s="25" t="s">
        <v>278</v>
      </c>
      <c r="E32" s="25" t="s">
        <v>277</v>
      </c>
      <c r="F32" s="30">
        <v>44997.0</v>
      </c>
      <c r="G32" s="30">
        <v>46093.0</v>
      </c>
      <c r="H32" s="25" t="s">
        <v>65</v>
      </c>
      <c r="I32" s="25" t="s">
        <v>2987</v>
      </c>
    </row>
    <row r="33" ht="15.75" customHeight="1">
      <c r="A33" s="27" t="s">
        <v>2988</v>
      </c>
      <c r="B33" s="27" t="s">
        <v>750</v>
      </c>
      <c r="C33" s="27" t="s">
        <v>2956</v>
      </c>
      <c r="D33" s="27" t="s">
        <v>2957</v>
      </c>
      <c r="E33" s="27" t="s">
        <v>321</v>
      </c>
      <c r="F33" s="33">
        <v>43886.0</v>
      </c>
      <c r="G33" s="33">
        <v>44982.0</v>
      </c>
      <c r="H33" s="27" t="s">
        <v>2932</v>
      </c>
      <c r="I33" s="27" t="s">
        <v>2989</v>
      </c>
    </row>
    <row r="34" ht="15.75" customHeight="1">
      <c r="A34" s="25" t="s">
        <v>2990</v>
      </c>
      <c r="B34" s="25" t="s">
        <v>750</v>
      </c>
      <c r="C34" s="25" t="s">
        <v>2930</v>
      </c>
      <c r="D34" s="25" t="s">
        <v>2931</v>
      </c>
      <c r="E34" s="25" t="s">
        <v>246</v>
      </c>
      <c r="F34" s="30">
        <v>44383.0</v>
      </c>
      <c r="G34" s="30">
        <v>45479.0</v>
      </c>
      <c r="H34" s="25" t="s">
        <v>2932</v>
      </c>
      <c r="I34" s="25" t="s">
        <v>2991</v>
      </c>
    </row>
    <row r="35" ht="15.75" customHeight="1">
      <c r="A35" s="27" t="s">
        <v>2992</v>
      </c>
      <c r="B35" s="27" t="s">
        <v>757</v>
      </c>
      <c r="C35" s="27" t="s">
        <v>2993</v>
      </c>
      <c r="D35" s="27" t="s">
        <v>2925</v>
      </c>
      <c r="E35" s="27" t="s">
        <v>250</v>
      </c>
      <c r="F35" s="33">
        <v>44788.0</v>
      </c>
      <c r="G35" s="33">
        <v>45884.0</v>
      </c>
      <c r="H35" s="27" t="s">
        <v>65</v>
      </c>
      <c r="I35" s="27" t="s">
        <v>2994</v>
      </c>
    </row>
    <row r="36" ht="15.75" customHeight="1">
      <c r="A36" s="25" t="s">
        <v>2995</v>
      </c>
      <c r="B36" s="25" t="s">
        <v>757</v>
      </c>
      <c r="C36" s="25" t="s">
        <v>2930</v>
      </c>
      <c r="D36" s="25" t="s">
        <v>2931</v>
      </c>
      <c r="E36" s="25" t="s">
        <v>246</v>
      </c>
      <c r="F36" s="30">
        <v>45250.0</v>
      </c>
      <c r="G36" s="30">
        <v>46346.0</v>
      </c>
      <c r="H36" s="25" t="s">
        <v>65</v>
      </c>
      <c r="I36" s="25" t="s">
        <v>2996</v>
      </c>
    </row>
    <row r="37" ht="15.75" customHeight="1">
      <c r="A37" s="27" t="s">
        <v>2997</v>
      </c>
      <c r="B37" s="27" t="s">
        <v>779</v>
      </c>
      <c r="C37" s="27" t="s">
        <v>2998</v>
      </c>
      <c r="D37" s="27" t="s">
        <v>2916</v>
      </c>
      <c r="E37" s="27" t="s">
        <v>253</v>
      </c>
      <c r="F37" s="33">
        <v>43681.0</v>
      </c>
      <c r="G37" s="33">
        <v>44777.0</v>
      </c>
      <c r="H37" s="27" t="s">
        <v>2932</v>
      </c>
      <c r="I37" s="27" t="s">
        <v>2999</v>
      </c>
    </row>
    <row r="38" ht="15.75" customHeight="1">
      <c r="A38" s="25" t="s">
        <v>3000</v>
      </c>
      <c r="B38" s="25" t="s">
        <v>779</v>
      </c>
      <c r="C38" s="25" t="s">
        <v>2907</v>
      </c>
      <c r="D38" s="25" t="s">
        <v>2908</v>
      </c>
      <c r="E38" s="25" t="s">
        <v>288</v>
      </c>
      <c r="F38" s="30">
        <v>43642.0</v>
      </c>
      <c r="G38" s="30">
        <v>44738.0</v>
      </c>
      <c r="H38" s="25" t="s">
        <v>2932</v>
      </c>
      <c r="I38" s="25" t="s">
        <v>3001</v>
      </c>
    </row>
    <row r="39" ht="15.75" customHeight="1">
      <c r="A39" s="27" t="s">
        <v>3002</v>
      </c>
      <c r="B39" s="27" t="s">
        <v>779</v>
      </c>
      <c r="C39" s="27" t="s">
        <v>2962</v>
      </c>
      <c r="D39" s="27" t="s">
        <v>2931</v>
      </c>
      <c r="E39" s="27" t="s">
        <v>246</v>
      </c>
      <c r="F39" s="33">
        <v>43662.0</v>
      </c>
      <c r="G39" s="33">
        <v>44758.0</v>
      </c>
      <c r="H39" s="27" t="s">
        <v>2932</v>
      </c>
      <c r="I39" s="27" t="s">
        <v>3003</v>
      </c>
    </row>
    <row r="40" ht="15.75" customHeight="1">
      <c r="A40" s="25" t="s">
        <v>3004</v>
      </c>
      <c r="B40" s="25" t="s">
        <v>801</v>
      </c>
      <c r="C40" s="25" t="s">
        <v>2942</v>
      </c>
      <c r="D40" s="25" t="s">
        <v>2943</v>
      </c>
      <c r="E40" s="25" t="s">
        <v>270</v>
      </c>
      <c r="F40" s="30">
        <v>45020.0</v>
      </c>
      <c r="G40" s="30">
        <v>46116.0</v>
      </c>
      <c r="H40" s="25" t="s">
        <v>65</v>
      </c>
      <c r="I40" s="25" t="s">
        <v>3005</v>
      </c>
    </row>
    <row r="41" ht="15.75" customHeight="1">
      <c r="A41" s="27" t="s">
        <v>3006</v>
      </c>
      <c r="B41" s="27" t="s">
        <v>808</v>
      </c>
      <c r="C41" s="27" t="s">
        <v>2993</v>
      </c>
      <c r="D41" s="27" t="s">
        <v>2925</v>
      </c>
      <c r="E41" s="27" t="s">
        <v>250</v>
      </c>
      <c r="F41" s="33">
        <v>45353.0</v>
      </c>
      <c r="G41" s="33">
        <v>46448.0</v>
      </c>
      <c r="H41" s="27" t="s">
        <v>65</v>
      </c>
      <c r="I41" s="27" t="s">
        <v>3007</v>
      </c>
    </row>
    <row r="42" ht="15.75" customHeight="1">
      <c r="A42" s="25" t="s">
        <v>3008</v>
      </c>
      <c r="B42" s="25" t="s">
        <v>822</v>
      </c>
      <c r="C42" s="25" t="s">
        <v>2942</v>
      </c>
      <c r="D42" s="25" t="s">
        <v>2943</v>
      </c>
      <c r="E42" s="25" t="s">
        <v>270</v>
      </c>
      <c r="F42" s="30">
        <v>45158.0</v>
      </c>
      <c r="G42" s="30">
        <v>46254.0</v>
      </c>
      <c r="H42" s="25" t="s">
        <v>65</v>
      </c>
      <c r="I42" s="25" t="s">
        <v>3009</v>
      </c>
    </row>
    <row r="43" ht="15.75" customHeight="1">
      <c r="A43" s="27" t="s">
        <v>3010</v>
      </c>
      <c r="B43" s="27" t="s">
        <v>822</v>
      </c>
      <c r="C43" s="27" t="s">
        <v>2935</v>
      </c>
      <c r="D43" s="27" t="s">
        <v>2936</v>
      </c>
      <c r="E43" s="27" t="s">
        <v>291</v>
      </c>
      <c r="F43" s="33">
        <v>45296.0</v>
      </c>
      <c r="G43" s="33">
        <v>46392.0</v>
      </c>
      <c r="H43" s="27" t="s">
        <v>65</v>
      </c>
      <c r="I43" s="27" t="s">
        <v>3011</v>
      </c>
    </row>
    <row r="44" ht="15.75" customHeight="1">
      <c r="A44" s="25" t="s">
        <v>3012</v>
      </c>
      <c r="B44" s="25" t="s">
        <v>837</v>
      </c>
      <c r="C44" s="25" t="s">
        <v>2935</v>
      </c>
      <c r="D44" s="25" t="s">
        <v>2936</v>
      </c>
      <c r="E44" s="25" t="s">
        <v>291</v>
      </c>
      <c r="F44" s="30">
        <v>45423.0</v>
      </c>
      <c r="G44" s="30">
        <v>46518.0</v>
      </c>
      <c r="H44" s="25" t="s">
        <v>65</v>
      </c>
      <c r="I44" s="25" t="s">
        <v>3013</v>
      </c>
    </row>
    <row r="45" ht="15.75" customHeight="1">
      <c r="A45" s="27" t="s">
        <v>3014</v>
      </c>
      <c r="B45" s="27" t="s">
        <v>843</v>
      </c>
      <c r="C45" s="27" t="s">
        <v>2915</v>
      </c>
      <c r="D45" s="27" t="s">
        <v>2916</v>
      </c>
      <c r="E45" s="27" t="s">
        <v>253</v>
      </c>
      <c r="F45" s="33">
        <v>44784.0</v>
      </c>
      <c r="G45" s="33">
        <v>45880.0</v>
      </c>
      <c r="H45" s="27" t="s">
        <v>65</v>
      </c>
      <c r="I45" s="27" t="s">
        <v>3015</v>
      </c>
    </row>
    <row r="46" ht="15.75" customHeight="1">
      <c r="A46" s="25" t="s">
        <v>3016</v>
      </c>
      <c r="B46" s="25" t="s">
        <v>849</v>
      </c>
      <c r="C46" s="25" t="s">
        <v>3017</v>
      </c>
      <c r="D46" s="25" t="s">
        <v>2925</v>
      </c>
      <c r="E46" s="25" t="s">
        <v>250</v>
      </c>
      <c r="F46" s="30">
        <v>43842.0</v>
      </c>
      <c r="G46" s="30">
        <v>44938.0</v>
      </c>
      <c r="H46" s="25" t="s">
        <v>2932</v>
      </c>
      <c r="I46" s="25" t="s">
        <v>3018</v>
      </c>
    </row>
    <row r="47" ht="15.75" customHeight="1">
      <c r="A47" s="27" t="s">
        <v>3019</v>
      </c>
      <c r="B47" s="27" t="s">
        <v>855</v>
      </c>
      <c r="C47" s="27" t="s">
        <v>2911</v>
      </c>
      <c r="D47" s="27" t="s">
        <v>2912</v>
      </c>
      <c r="E47" s="27" t="s">
        <v>329</v>
      </c>
      <c r="F47" s="33">
        <v>44911.0</v>
      </c>
      <c r="G47" s="33">
        <v>46007.0</v>
      </c>
      <c r="H47" s="27" t="s">
        <v>65</v>
      </c>
      <c r="I47" s="27" t="s">
        <v>3020</v>
      </c>
    </row>
    <row r="48" ht="15.75" customHeight="1">
      <c r="A48" s="25" t="s">
        <v>3021</v>
      </c>
      <c r="B48" s="25" t="s">
        <v>855</v>
      </c>
      <c r="C48" s="25" t="s">
        <v>2930</v>
      </c>
      <c r="D48" s="25" t="s">
        <v>2931</v>
      </c>
      <c r="E48" s="25" t="s">
        <v>246</v>
      </c>
      <c r="F48" s="30">
        <v>44458.0</v>
      </c>
      <c r="G48" s="30">
        <v>45554.0</v>
      </c>
      <c r="H48" s="25" t="s">
        <v>2932</v>
      </c>
      <c r="I48" s="25" t="s">
        <v>3022</v>
      </c>
    </row>
    <row r="49" ht="15.75" customHeight="1">
      <c r="A49" s="27" t="s">
        <v>3023</v>
      </c>
      <c r="B49" s="27" t="s">
        <v>862</v>
      </c>
      <c r="C49" s="27" t="s">
        <v>2924</v>
      </c>
      <c r="D49" s="27" t="s">
        <v>2925</v>
      </c>
      <c r="E49" s="27" t="s">
        <v>266</v>
      </c>
      <c r="F49" s="33">
        <v>44309.0</v>
      </c>
      <c r="G49" s="33">
        <v>45405.0</v>
      </c>
      <c r="H49" s="27" t="s">
        <v>2932</v>
      </c>
      <c r="I49" s="27" t="s">
        <v>3024</v>
      </c>
    </row>
    <row r="50" ht="15.75" customHeight="1">
      <c r="A50" s="25" t="s">
        <v>3025</v>
      </c>
      <c r="B50" s="25" t="s">
        <v>875</v>
      </c>
      <c r="C50" s="25" t="s">
        <v>2962</v>
      </c>
      <c r="D50" s="25" t="s">
        <v>2931</v>
      </c>
      <c r="E50" s="25" t="s">
        <v>246</v>
      </c>
      <c r="F50" s="30">
        <v>44351.0</v>
      </c>
      <c r="G50" s="30">
        <v>45447.0</v>
      </c>
      <c r="H50" s="25" t="s">
        <v>2932</v>
      </c>
      <c r="I50" s="25" t="s">
        <v>3026</v>
      </c>
    </row>
    <row r="51" ht="15.75" customHeight="1">
      <c r="A51" s="27" t="s">
        <v>3027</v>
      </c>
      <c r="B51" s="27" t="s">
        <v>875</v>
      </c>
      <c r="C51" s="27" t="s">
        <v>3017</v>
      </c>
      <c r="D51" s="27" t="s">
        <v>2925</v>
      </c>
      <c r="E51" s="27" t="s">
        <v>250</v>
      </c>
      <c r="F51" s="33">
        <v>45043.0</v>
      </c>
      <c r="G51" s="33">
        <v>46139.0</v>
      </c>
      <c r="H51" s="27" t="s">
        <v>65</v>
      </c>
      <c r="I51" s="27" t="s">
        <v>3028</v>
      </c>
    </row>
    <row r="52" ht="15.75" customHeight="1">
      <c r="A52" s="25" t="s">
        <v>3029</v>
      </c>
      <c r="B52" s="25" t="s">
        <v>875</v>
      </c>
      <c r="C52" s="25" t="s">
        <v>2924</v>
      </c>
      <c r="D52" s="25" t="s">
        <v>2925</v>
      </c>
      <c r="E52" s="25" t="s">
        <v>266</v>
      </c>
      <c r="F52" s="30">
        <v>45463.0</v>
      </c>
      <c r="G52" s="30">
        <v>46558.0</v>
      </c>
      <c r="H52" s="25" t="s">
        <v>65</v>
      </c>
      <c r="I52" s="25" t="s">
        <v>3030</v>
      </c>
    </row>
    <row r="53" ht="15.75" customHeight="1">
      <c r="A53" s="27" t="s">
        <v>3031</v>
      </c>
      <c r="B53" s="27" t="s">
        <v>890</v>
      </c>
      <c r="C53" s="27" t="s">
        <v>2942</v>
      </c>
      <c r="D53" s="27" t="s">
        <v>2943</v>
      </c>
      <c r="E53" s="27" t="s">
        <v>270</v>
      </c>
      <c r="F53" s="33">
        <v>45571.0</v>
      </c>
      <c r="G53" s="33">
        <v>46666.0</v>
      </c>
      <c r="H53" s="27" t="s">
        <v>65</v>
      </c>
      <c r="I53" s="27" t="s">
        <v>3032</v>
      </c>
    </row>
    <row r="54" ht="15.75" customHeight="1">
      <c r="A54" s="25" t="s">
        <v>3033</v>
      </c>
      <c r="B54" s="25" t="s">
        <v>890</v>
      </c>
      <c r="C54" s="25" t="s">
        <v>2907</v>
      </c>
      <c r="D54" s="25" t="s">
        <v>2908</v>
      </c>
      <c r="E54" s="25" t="s">
        <v>288</v>
      </c>
      <c r="F54" s="30">
        <v>44743.0</v>
      </c>
      <c r="G54" s="30">
        <v>45839.0</v>
      </c>
      <c r="H54" s="25" t="s">
        <v>65</v>
      </c>
      <c r="I54" s="25" t="s">
        <v>3034</v>
      </c>
    </row>
    <row r="55" ht="15.75" customHeight="1">
      <c r="A55" s="27" t="s">
        <v>3035</v>
      </c>
      <c r="B55" s="27" t="s">
        <v>897</v>
      </c>
      <c r="C55" s="27" t="s">
        <v>2993</v>
      </c>
      <c r="D55" s="27" t="s">
        <v>2925</v>
      </c>
      <c r="E55" s="27" t="s">
        <v>250</v>
      </c>
      <c r="F55" s="33">
        <v>45532.0</v>
      </c>
      <c r="G55" s="33">
        <v>46627.0</v>
      </c>
      <c r="H55" s="27" t="s">
        <v>65</v>
      </c>
      <c r="I55" s="27" t="s">
        <v>3036</v>
      </c>
    </row>
    <row r="56" ht="15.75" customHeight="1">
      <c r="A56" s="25" t="s">
        <v>3037</v>
      </c>
      <c r="B56" s="25" t="s">
        <v>903</v>
      </c>
      <c r="C56" s="25" t="s">
        <v>3017</v>
      </c>
      <c r="D56" s="25" t="s">
        <v>2925</v>
      </c>
      <c r="E56" s="25" t="s">
        <v>250</v>
      </c>
      <c r="F56" s="30">
        <v>45319.0</v>
      </c>
      <c r="G56" s="30">
        <v>46415.0</v>
      </c>
      <c r="H56" s="25" t="s">
        <v>65</v>
      </c>
      <c r="I56" s="25" t="s">
        <v>3038</v>
      </c>
    </row>
    <row r="57" ht="15.75" customHeight="1">
      <c r="A57" s="27" t="s">
        <v>3039</v>
      </c>
      <c r="B57" s="27" t="s">
        <v>903</v>
      </c>
      <c r="C57" s="27" t="s">
        <v>2998</v>
      </c>
      <c r="D57" s="27" t="s">
        <v>2916</v>
      </c>
      <c r="E57" s="27" t="s">
        <v>253</v>
      </c>
      <c r="F57" s="33">
        <v>45569.0</v>
      </c>
      <c r="G57" s="33">
        <v>46664.0</v>
      </c>
      <c r="H57" s="27" t="s">
        <v>65</v>
      </c>
      <c r="I57" s="27" t="s">
        <v>3040</v>
      </c>
    </row>
    <row r="58" ht="15.75" customHeight="1">
      <c r="A58" s="25" t="s">
        <v>3041</v>
      </c>
      <c r="B58" s="25" t="s">
        <v>903</v>
      </c>
      <c r="C58" s="25" t="s">
        <v>2939</v>
      </c>
      <c r="D58" s="25" t="s">
        <v>274</v>
      </c>
      <c r="E58" s="25" t="s">
        <v>238</v>
      </c>
      <c r="F58" s="30">
        <v>45105.0</v>
      </c>
      <c r="G58" s="30">
        <v>46201.0</v>
      </c>
      <c r="H58" s="25" t="s">
        <v>65</v>
      </c>
      <c r="I58" s="25" t="s">
        <v>3042</v>
      </c>
    </row>
    <row r="59" ht="15.75" customHeight="1">
      <c r="A59" s="27" t="s">
        <v>3043</v>
      </c>
      <c r="B59" s="27" t="s">
        <v>915</v>
      </c>
      <c r="C59" s="27" t="s">
        <v>2956</v>
      </c>
      <c r="D59" s="27" t="s">
        <v>2957</v>
      </c>
      <c r="E59" s="27" t="s">
        <v>321</v>
      </c>
      <c r="F59" s="33">
        <v>44724.0</v>
      </c>
      <c r="G59" s="33">
        <v>45820.0</v>
      </c>
      <c r="H59" s="27" t="s">
        <v>65</v>
      </c>
      <c r="I59" s="27" t="s">
        <v>3044</v>
      </c>
    </row>
    <row r="60" ht="15.75" customHeight="1">
      <c r="A60" s="25" t="s">
        <v>3045</v>
      </c>
      <c r="B60" s="25" t="s">
        <v>921</v>
      </c>
      <c r="C60" s="25" t="s">
        <v>2993</v>
      </c>
      <c r="D60" s="25" t="s">
        <v>2925</v>
      </c>
      <c r="E60" s="25" t="s">
        <v>250</v>
      </c>
      <c r="F60" s="30">
        <v>45354.0</v>
      </c>
      <c r="G60" s="30">
        <v>46449.0</v>
      </c>
      <c r="H60" s="25" t="s">
        <v>65</v>
      </c>
      <c r="I60" s="25" t="s">
        <v>3046</v>
      </c>
    </row>
    <row r="61" ht="15.75" customHeight="1">
      <c r="A61" s="27" t="s">
        <v>3047</v>
      </c>
      <c r="B61" s="27" t="s">
        <v>928</v>
      </c>
      <c r="C61" s="27" t="s">
        <v>3017</v>
      </c>
      <c r="D61" s="27" t="s">
        <v>2925</v>
      </c>
      <c r="E61" s="27" t="s">
        <v>250</v>
      </c>
      <c r="F61" s="33">
        <v>43533.0</v>
      </c>
      <c r="G61" s="33">
        <v>44629.0</v>
      </c>
      <c r="H61" s="27" t="s">
        <v>2932</v>
      </c>
      <c r="I61" s="27" t="s">
        <v>3048</v>
      </c>
    </row>
    <row r="62" ht="15.75" customHeight="1">
      <c r="A62" s="25" t="s">
        <v>3049</v>
      </c>
      <c r="B62" s="25" t="s">
        <v>950</v>
      </c>
      <c r="C62" s="25" t="s">
        <v>2930</v>
      </c>
      <c r="D62" s="25" t="s">
        <v>2931</v>
      </c>
      <c r="E62" s="25" t="s">
        <v>246</v>
      </c>
      <c r="F62" s="30">
        <v>45233.0</v>
      </c>
      <c r="G62" s="30">
        <v>46329.0</v>
      </c>
      <c r="H62" s="25" t="s">
        <v>65</v>
      </c>
      <c r="I62" s="25" t="s">
        <v>3050</v>
      </c>
    </row>
    <row r="63" ht="15.75" customHeight="1">
      <c r="A63" s="27" t="s">
        <v>3051</v>
      </c>
      <c r="B63" s="27" t="s">
        <v>950</v>
      </c>
      <c r="C63" s="27" t="s">
        <v>2998</v>
      </c>
      <c r="D63" s="27" t="s">
        <v>2916</v>
      </c>
      <c r="E63" s="27" t="s">
        <v>253</v>
      </c>
      <c r="F63" s="33">
        <v>44082.0</v>
      </c>
      <c r="G63" s="33">
        <v>45177.0</v>
      </c>
      <c r="H63" s="27" t="s">
        <v>2932</v>
      </c>
      <c r="I63" s="27" t="s">
        <v>3052</v>
      </c>
    </row>
    <row r="64" ht="15.75" customHeight="1">
      <c r="A64" s="25" t="s">
        <v>3053</v>
      </c>
      <c r="B64" s="25" t="s">
        <v>969</v>
      </c>
      <c r="C64" s="25" t="s">
        <v>2911</v>
      </c>
      <c r="D64" s="25" t="s">
        <v>2912</v>
      </c>
      <c r="E64" s="25" t="s">
        <v>329</v>
      </c>
      <c r="F64" s="30">
        <v>45196.0</v>
      </c>
      <c r="G64" s="30">
        <v>46292.0</v>
      </c>
      <c r="H64" s="25" t="s">
        <v>65</v>
      </c>
      <c r="I64" s="25" t="s">
        <v>3054</v>
      </c>
    </row>
    <row r="65" ht="15.75" customHeight="1">
      <c r="A65" s="27" t="s">
        <v>3055</v>
      </c>
      <c r="B65" s="27" t="s">
        <v>998</v>
      </c>
      <c r="C65" s="27" t="s">
        <v>2930</v>
      </c>
      <c r="D65" s="27" t="s">
        <v>2931</v>
      </c>
      <c r="E65" s="27" t="s">
        <v>246</v>
      </c>
      <c r="F65" s="33">
        <v>44365.0</v>
      </c>
      <c r="G65" s="33">
        <v>45461.0</v>
      </c>
      <c r="H65" s="27" t="s">
        <v>2932</v>
      </c>
      <c r="I65" s="27" t="s">
        <v>3056</v>
      </c>
    </row>
    <row r="66" ht="15.75" customHeight="1">
      <c r="A66" s="25" t="s">
        <v>3057</v>
      </c>
      <c r="B66" s="25" t="s">
        <v>1024</v>
      </c>
      <c r="C66" s="25" t="s">
        <v>2939</v>
      </c>
      <c r="D66" s="25" t="s">
        <v>274</v>
      </c>
      <c r="E66" s="25" t="s">
        <v>238</v>
      </c>
      <c r="F66" s="30">
        <v>45075.0</v>
      </c>
      <c r="G66" s="30">
        <v>46171.0</v>
      </c>
      <c r="H66" s="25" t="s">
        <v>65</v>
      </c>
      <c r="I66" s="25" t="s">
        <v>3058</v>
      </c>
    </row>
    <row r="67" ht="15.75" customHeight="1">
      <c r="A67" s="27" t="s">
        <v>3059</v>
      </c>
      <c r="B67" s="27" t="s">
        <v>1030</v>
      </c>
      <c r="C67" s="27" t="s">
        <v>2911</v>
      </c>
      <c r="D67" s="27" t="s">
        <v>2912</v>
      </c>
      <c r="E67" s="27" t="s">
        <v>329</v>
      </c>
      <c r="F67" s="33">
        <v>44564.0</v>
      </c>
      <c r="G67" s="33">
        <v>45660.0</v>
      </c>
      <c r="H67" s="27" t="s">
        <v>65</v>
      </c>
      <c r="I67" s="27" t="s">
        <v>3060</v>
      </c>
    </row>
    <row r="68" ht="15.75" customHeight="1">
      <c r="A68" s="25" t="s">
        <v>3061</v>
      </c>
      <c r="B68" s="25" t="s">
        <v>1037</v>
      </c>
      <c r="C68" s="25" t="s">
        <v>2998</v>
      </c>
      <c r="D68" s="25" t="s">
        <v>2916</v>
      </c>
      <c r="E68" s="25" t="s">
        <v>253</v>
      </c>
      <c r="F68" s="30">
        <v>44645.0</v>
      </c>
      <c r="G68" s="30">
        <v>45741.0</v>
      </c>
      <c r="H68" s="25" t="s">
        <v>65</v>
      </c>
      <c r="I68" s="25" t="s">
        <v>3062</v>
      </c>
    </row>
    <row r="69" ht="15.75" customHeight="1">
      <c r="A69" s="27" t="s">
        <v>3063</v>
      </c>
      <c r="B69" s="27" t="s">
        <v>1043</v>
      </c>
      <c r="C69" s="27" t="s">
        <v>2930</v>
      </c>
      <c r="D69" s="27" t="s">
        <v>2931</v>
      </c>
      <c r="E69" s="27" t="s">
        <v>246</v>
      </c>
      <c r="F69" s="33">
        <v>44224.0</v>
      </c>
      <c r="G69" s="33">
        <v>45319.0</v>
      </c>
      <c r="H69" s="27" t="s">
        <v>2932</v>
      </c>
      <c r="I69" s="27" t="s">
        <v>3064</v>
      </c>
    </row>
    <row r="70" ht="15.75" customHeight="1">
      <c r="A70" s="25" t="s">
        <v>3065</v>
      </c>
      <c r="B70" s="25" t="s">
        <v>1049</v>
      </c>
      <c r="C70" s="25" t="s">
        <v>2911</v>
      </c>
      <c r="D70" s="25" t="s">
        <v>2912</v>
      </c>
      <c r="E70" s="25" t="s">
        <v>329</v>
      </c>
      <c r="F70" s="30">
        <v>44716.0</v>
      </c>
      <c r="G70" s="30">
        <v>45812.0</v>
      </c>
      <c r="H70" s="25" t="s">
        <v>65</v>
      </c>
      <c r="I70" s="25" t="s">
        <v>3066</v>
      </c>
    </row>
    <row r="71" ht="15.75" customHeight="1">
      <c r="A71" s="27" t="s">
        <v>3067</v>
      </c>
      <c r="B71" s="27" t="s">
        <v>1069</v>
      </c>
      <c r="C71" s="27" t="s">
        <v>2993</v>
      </c>
      <c r="D71" s="27" t="s">
        <v>2925</v>
      </c>
      <c r="E71" s="27" t="s">
        <v>250</v>
      </c>
      <c r="F71" s="33">
        <v>45409.0</v>
      </c>
      <c r="G71" s="33">
        <v>46504.0</v>
      </c>
      <c r="H71" s="27" t="s">
        <v>65</v>
      </c>
      <c r="I71" s="27" t="s">
        <v>3068</v>
      </c>
    </row>
    <row r="72" ht="15.75" customHeight="1">
      <c r="A72" s="25" t="s">
        <v>3069</v>
      </c>
      <c r="B72" s="25" t="s">
        <v>1069</v>
      </c>
      <c r="C72" s="25" t="s">
        <v>2962</v>
      </c>
      <c r="D72" s="25" t="s">
        <v>2931</v>
      </c>
      <c r="E72" s="25" t="s">
        <v>246</v>
      </c>
      <c r="F72" s="30">
        <v>44834.0</v>
      </c>
      <c r="G72" s="30">
        <v>45930.0</v>
      </c>
      <c r="H72" s="25" t="s">
        <v>65</v>
      </c>
      <c r="I72" s="25" t="s">
        <v>3070</v>
      </c>
    </row>
    <row r="73" ht="15.75" customHeight="1">
      <c r="A73" s="27" t="s">
        <v>3071</v>
      </c>
      <c r="B73" s="27" t="s">
        <v>1082</v>
      </c>
      <c r="C73" s="27" t="s">
        <v>2924</v>
      </c>
      <c r="D73" s="27" t="s">
        <v>2925</v>
      </c>
      <c r="E73" s="27" t="s">
        <v>266</v>
      </c>
      <c r="F73" s="33">
        <v>43505.0</v>
      </c>
      <c r="G73" s="33">
        <v>44601.0</v>
      </c>
      <c r="H73" s="27" t="s">
        <v>2932</v>
      </c>
      <c r="I73" s="27" t="s">
        <v>3072</v>
      </c>
    </row>
    <row r="74" ht="15.75" customHeight="1">
      <c r="A74" s="25" t="s">
        <v>3073</v>
      </c>
      <c r="B74" s="25" t="s">
        <v>1095</v>
      </c>
      <c r="C74" s="25" t="s">
        <v>2921</v>
      </c>
      <c r="D74" s="25" t="s">
        <v>278</v>
      </c>
      <c r="E74" s="25" t="s">
        <v>277</v>
      </c>
      <c r="F74" s="30">
        <v>43914.0</v>
      </c>
      <c r="G74" s="30">
        <v>45009.0</v>
      </c>
      <c r="H74" s="25" t="s">
        <v>2932</v>
      </c>
      <c r="I74" s="25" t="s">
        <v>3074</v>
      </c>
    </row>
    <row r="75" ht="15.75" customHeight="1">
      <c r="A75" s="27" t="s">
        <v>3075</v>
      </c>
      <c r="B75" s="27" t="s">
        <v>1102</v>
      </c>
      <c r="C75" s="27" t="s">
        <v>2915</v>
      </c>
      <c r="D75" s="27" t="s">
        <v>2916</v>
      </c>
      <c r="E75" s="27" t="s">
        <v>253</v>
      </c>
      <c r="F75" s="33">
        <v>44401.0</v>
      </c>
      <c r="G75" s="33">
        <v>45497.0</v>
      </c>
      <c r="H75" s="27" t="s">
        <v>2932</v>
      </c>
      <c r="I75" s="27" t="s">
        <v>3076</v>
      </c>
    </row>
    <row r="76" ht="15.75" customHeight="1">
      <c r="A76" s="25" t="s">
        <v>3077</v>
      </c>
      <c r="B76" s="25" t="s">
        <v>1110</v>
      </c>
      <c r="C76" s="25" t="s">
        <v>2942</v>
      </c>
      <c r="D76" s="25" t="s">
        <v>2943</v>
      </c>
      <c r="E76" s="25" t="s">
        <v>270</v>
      </c>
      <c r="F76" s="30">
        <v>43850.0</v>
      </c>
      <c r="G76" s="30">
        <v>44946.0</v>
      </c>
      <c r="H76" s="25" t="s">
        <v>2932</v>
      </c>
      <c r="I76" s="25" t="s">
        <v>3078</v>
      </c>
    </row>
    <row r="77" ht="15.75" customHeight="1">
      <c r="A77" s="27" t="s">
        <v>3079</v>
      </c>
      <c r="B77" s="27" t="s">
        <v>1116</v>
      </c>
      <c r="C77" s="27" t="s">
        <v>2921</v>
      </c>
      <c r="D77" s="27" t="s">
        <v>278</v>
      </c>
      <c r="E77" s="27" t="s">
        <v>277</v>
      </c>
      <c r="F77" s="33">
        <v>45475.0</v>
      </c>
      <c r="G77" s="33">
        <v>46570.0</v>
      </c>
      <c r="H77" s="27" t="s">
        <v>65</v>
      </c>
      <c r="I77" s="27" t="s">
        <v>3080</v>
      </c>
    </row>
    <row r="78" ht="15.75" customHeight="1">
      <c r="A78" s="25" t="s">
        <v>3081</v>
      </c>
      <c r="B78" s="25" t="s">
        <v>1134</v>
      </c>
      <c r="C78" s="25" t="s">
        <v>2915</v>
      </c>
      <c r="D78" s="25" t="s">
        <v>2916</v>
      </c>
      <c r="E78" s="25" t="s">
        <v>253</v>
      </c>
      <c r="F78" s="30">
        <v>44832.0</v>
      </c>
      <c r="G78" s="30">
        <v>45928.0</v>
      </c>
      <c r="H78" s="25" t="s">
        <v>65</v>
      </c>
      <c r="I78" s="25" t="s">
        <v>3082</v>
      </c>
    </row>
    <row r="79" ht="15.75" customHeight="1">
      <c r="A79" s="27" t="s">
        <v>3083</v>
      </c>
      <c r="B79" s="27" t="s">
        <v>1141</v>
      </c>
      <c r="C79" s="27" t="s">
        <v>2924</v>
      </c>
      <c r="D79" s="27" t="s">
        <v>2925</v>
      </c>
      <c r="E79" s="27" t="s">
        <v>266</v>
      </c>
      <c r="F79" s="33">
        <v>45449.0</v>
      </c>
      <c r="G79" s="33">
        <v>46544.0</v>
      </c>
      <c r="H79" s="27" t="s">
        <v>65</v>
      </c>
      <c r="I79" s="27" t="s">
        <v>3084</v>
      </c>
    </row>
    <row r="80" ht="15.75" customHeight="1">
      <c r="A80" s="25" t="s">
        <v>3085</v>
      </c>
      <c r="B80" s="25" t="s">
        <v>1174</v>
      </c>
      <c r="C80" s="25" t="s">
        <v>2911</v>
      </c>
      <c r="D80" s="25" t="s">
        <v>2912</v>
      </c>
      <c r="E80" s="25" t="s">
        <v>329</v>
      </c>
      <c r="F80" s="30">
        <v>45230.0</v>
      </c>
      <c r="G80" s="30">
        <v>46326.0</v>
      </c>
      <c r="H80" s="25" t="s">
        <v>65</v>
      </c>
      <c r="I80" s="25" t="s">
        <v>3086</v>
      </c>
    </row>
    <row r="81" ht="15.75" customHeight="1">
      <c r="A81" s="27" t="s">
        <v>3087</v>
      </c>
      <c r="B81" s="27" t="s">
        <v>1207</v>
      </c>
      <c r="C81" s="27" t="s">
        <v>2907</v>
      </c>
      <c r="D81" s="27" t="s">
        <v>2908</v>
      </c>
      <c r="E81" s="27" t="s">
        <v>288</v>
      </c>
      <c r="F81" s="33">
        <v>44552.0</v>
      </c>
      <c r="G81" s="33">
        <v>45648.0</v>
      </c>
      <c r="H81" s="27" t="s">
        <v>2932</v>
      </c>
      <c r="I81" s="27" t="s">
        <v>3088</v>
      </c>
    </row>
    <row r="82" ht="15.75" customHeight="1">
      <c r="A82" s="25" t="s">
        <v>3089</v>
      </c>
      <c r="B82" s="25" t="s">
        <v>1207</v>
      </c>
      <c r="C82" s="25" t="s">
        <v>2993</v>
      </c>
      <c r="D82" s="25" t="s">
        <v>2925</v>
      </c>
      <c r="E82" s="25" t="s">
        <v>250</v>
      </c>
      <c r="F82" s="30">
        <v>44894.0</v>
      </c>
      <c r="G82" s="30">
        <v>45990.0</v>
      </c>
      <c r="H82" s="25" t="s">
        <v>65</v>
      </c>
      <c r="I82" s="25" t="s">
        <v>3090</v>
      </c>
    </row>
    <row r="83" ht="15.75" customHeight="1">
      <c r="A83" s="27" t="s">
        <v>3091</v>
      </c>
      <c r="B83" s="27" t="s">
        <v>1231</v>
      </c>
      <c r="C83" s="27" t="s">
        <v>2939</v>
      </c>
      <c r="D83" s="27" t="s">
        <v>274</v>
      </c>
      <c r="E83" s="27" t="s">
        <v>238</v>
      </c>
      <c r="F83" s="33">
        <v>45329.0</v>
      </c>
      <c r="G83" s="33">
        <v>46425.0</v>
      </c>
      <c r="H83" s="27" t="s">
        <v>65</v>
      </c>
      <c r="I83" s="27" t="s">
        <v>3092</v>
      </c>
    </row>
    <row r="84" ht="15.75" customHeight="1">
      <c r="A84" s="25" t="s">
        <v>3093</v>
      </c>
      <c r="B84" s="25" t="s">
        <v>1237</v>
      </c>
      <c r="C84" s="25" t="s">
        <v>2915</v>
      </c>
      <c r="D84" s="25" t="s">
        <v>2916</v>
      </c>
      <c r="E84" s="25" t="s">
        <v>253</v>
      </c>
      <c r="F84" s="30">
        <v>43917.0</v>
      </c>
      <c r="G84" s="30">
        <v>45012.0</v>
      </c>
      <c r="H84" s="25" t="s">
        <v>2932</v>
      </c>
      <c r="I84" s="25" t="s">
        <v>3094</v>
      </c>
    </row>
    <row r="85" ht="15.75" customHeight="1">
      <c r="A85" s="27" t="s">
        <v>3095</v>
      </c>
      <c r="B85" s="27" t="s">
        <v>1243</v>
      </c>
      <c r="C85" s="27" t="s">
        <v>2921</v>
      </c>
      <c r="D85" s="27" t="s">
        <v>278</v>
      </c>
      <c r="E85" s="27" t="s">
        <v>277</v>
      </c>
      <c r="F85" s="33">
        <v>44081.0</v>
      </c>
      <c r="G85" s="33">
        <v>45176.0</v>
      </c>
      <c r="H85" s="27" t="s">
        <v>2932</v>
      </c>
      <c r="I85" s="27" t="s">
        <v>3096</v>
      </c>
    </row>
    <row r="86" ht="15.75" customHeight="1">
      <c r="A86" s="25" t="s">
        <v>3097</v>
      </c>
      <c r="B86" s="25" t="s">
        <v>1250</v>
      </c>
      <c r="C86" s="25" t="s">
        <v>2956</v>
      </c>
      <c r="D86" s="25" t="s">
        <v>2957</v>
      </c>
      <c r="E86" s="25" t="s">
        <v>321</v>
      </c>
      <c r="F86" s="30">
        <v>44132.0</v>
      </c>
      <c r="G86" s="30">
        <v>45227.0</v>
      </c>
      <c r="H86" s="25" t="s">
        <v>2932</v>
      </c>
      <c r="I86" s="25" t="s">
        <v>3098</v>
      </c>
    </row>
    <row r="87" ht="15.75" customHeight="1">
      <c r="A87" s="27" t="s">
        <v>3099</v>
      </c>
      <c r="B87" s="27" t="s">
        <v>1268</v>
      </c>
      <c r="C87" s="27" t="s">
        <v>2930</v>
      </c>
      <c r="D87" s="27" t="s">
        <v>2931</v>
      </c>
      <c r="E87" s="27" t="s">
        <v>246</v>
      </c>
      <c r="F87" s="33">
        <v>43683.0</v>
      </c>
      <c r="G87" s="33">
        <v>44779.0</v>
      </c>
      <c r="H87" s="27" t="s">
        <v>2932</v>
      </c>
      <c r="I87" s="27" t="s">
        <v>3100</v>
      </c>
    </row>
    <row r="88" ht="15.75" customHeight="1">
      <c r="A88" s="25" t="s">
        <v>3101</v>
      </c>
      <c r="B88" s="25" t="s">
        <v>1293</v>
      </c>
      <c r="C88" s="25" t="s">
        <v>2956</v>
      </c>
      <c r="D88" s="25" t="s">
        <v>2957</v>
      </c>
      <c r="E88" s="25" t="s">
        <v>321</v>
      </c>
      <c r="F88" s="30">
        <v>44101.0</v>
      </c>
      <c r="G88" s="30">
        <v>45196.0</v>
      </c>
      <c r="H88" s="25" t="s">
        <v>2932</v>
      </c>
      <c r="I88" s="25" t="s">
        <v>3102</v>
      </c>
    </row>
    <row r="89" ht="15.75" customHeight="1">
      <c r="A89" s="27" t="s">
        <v>3103</v>
      </c>
      <c r="B89" s="27" t="s">
        <v>1318</v>
      </c>
      <c r="C89" s="27" t="s">
        <v>3017</v>
      </c>
      <c r="D89" s="27" t="s">
        <v>2925</v>
      </c>
      <c r="E89" s="27" t="s">
        <v>250</v>
      </c>
      <c r="F89" s="33">
        <v>45048.0</v>
      </c>
      <c r="G89" s="33">
        <v>46144.0</v>
      </c>
      <c r="H89" s="27" t="s">
        <v>65</v>
      </c>
      <c r="I89" s="27" t="s">
        <v>3104</v>
      </c>
    </row>
    <row r="90" ht="15.75" customHeight="1">
      <c r="A90" s="25" t="s">
        <v>3105</v>
      </c>
      <c r="B90" s="25" t="s">
        <v>1318</v>
      </c>
      <c r="C90" s="25" t="s">
        <v>2942</v>
      </c>
      <c r="D90" s="25" t="s">
        <v>2943</v>
      </c>
      <c r="E90" s="25" t="s">
        <v>270</v>
      </c>
      <c r="F90" s="30">
        <v>45100.0</v>
      </c>
      <c r="G90" s="30">
        <v>46196.0</v>
      </c>
      <c r="H90" s="25" t="s">
        <v>65</v>
      </c>
      <c r="I90" s="25" t="s">
        <v>3106</v>
      </c>
    </row>
    <row r="91" ht="15.75" customHeight="1">
      <c r="A91" s="27" t="s">
        <v>3107</v>
      </c>
      <c r="B91" s="27" t="s">
        <v>1324</v>
      </c>
      <c r="C91" s="27" t="s">
        <v>2935</v>
      </c>
      <c r="D91" s="27" t="s">
        <v>2936</v>
      </c>
      <c r="E91" s="27" t="s">
        <v>291</v>
      </c>
      <c r="F91" s="33">
        <v>44175.0</v>
      </c>
      <c r="G91" s="33">
        <v>45270.0</v>
      </c>
      <c r="H91" s="27" t="s">
        <v>2932</v>
      </c>
      <c r="I91" s="27" t="s">
        <v>3108</v>
      </c>
    </row>
    <row r="92" ht="15.75" customHeight="1">
      <c r="A92" s="25" t="s">
        <v>3109</v>
      </c>
      <c r="B92" s="25" t="s">
        <v>1324</v>
      </c>
      <c r="C92" s="25" t="s">
        <v>2915</v>
      </c>
      <c r="D92" s="25" t="s">
        <v>2916</v>
      </c>
      <c r="E92" s="25" t="s">
        <v>253</v>
      </c>
      <c r="F92" s="30">
        <v>45251.0</v>
      </c>
      <c r="G92" s="30">
        <v>46347.0</v>
      </c>
      <c r="H92" s="25" t="s">
        <v>65</v>
      </c>
      <c r="I92" s="25" t="s">
        <v>3110</v>
      </c>
    </row>
    <row r="93" ht="15.75" customHeight="1">
      <c r="A93" s="27" t="s">
        <v>3111</v>
      </c>
      <c r="B93" s="27" t="s">
        <v>1330</v>
      </c>
      <c r="C93" s="27" t="s">
        <v>2993</v>
      </c>
      <c r="D93" s="27" t="s">
        <v>2925</v>
      </c>
      <c r="E93" s="27" t="s">
        <v>250</v>
      </c>
      <c r="F93" s="33">
        <v>44283.0</v>
      </c>
      <c r="G93" s="33">
        <v>45379.0</v>
      </c>
      <c r="H93" s="27" t="s">
        <v>2932</v>
      </c>
      <c r="I93" s="27" t="s">
        <v>3112</v>
      </c>
    </row>
    <row r="94" ht="15.75" customHeight="1">
      <c r="A94" s="25" t="s">
        <v>3113</v>
      </c>
      <c r="B94" s="25" t="s">
        <v>1336</v>
      </c>
      <c r="C94" s="25" t="s">
        <v>2915</v>
      </c>
      <c r="D94" s="25" t="s">
        <v>2916</v>
      </c>
      <c r="E94" s="25" t="s">
        <v>253</v>
      </c>
      <c r="F94" s="30">
        <v>44715.0</v>
      </c>
      <c r="G94" s="30">
        <v>45811.0</v>
      </c>
      <c r="H94" s="25" t="s">
        <v>65</v>
      </c>
      <c r="I94" s="25" t="s">
        <v>3114</v>
      </c>
    </row>
    <row r="95" ht="15.75" customHeight="1">
      <c r="A95" s="27" t="s">
        <v>3115</v>
      </c>
      <c r="B95" s="27" t="s">
        <v>1342</v>
      </c>
      <c r="C95" s="27" t="s">
        <v>2921</v>
      </c>
      <c r="D95" s="27" t="s">
        <v>278</v>
      </c>
      <c r="E95" s="27" t="s">
        <v>277</v>
      </c>
      <c r="F95" s="33">
        <v>44217.0</v>
      </c>
      <c r="G95" s="33">
        <v>45312.0</v>
      </c>
      <c r="H95" s="27" t="s">
        <v>2932</v>
      </c>
      <c r="I95" s="27" t="s">
        <v>3116</v>
      </c>
    </row>
    <row r="96" ht="15.75" customHeight="1">
      <c r="A96" s="25" t="s">
        <v>3117</v>
      </c>
      <c r="B96" s="25" t="s">
        <v>1342</v>
      </c>
      <c r="C96" s="25" t="s">
        <v>2907</v>
      </c>
      <c r="D96" s="25" t="s">
        <v>2908</v>
      </c>
      <c r="E96" s="25" t="s">
        <v>288</v>
      </c>
      <c r="F96" s="30">
        <v>45255.0</v>
      </c>
      <c r="G96" s="30">
        <v>46351.0</v>
      </c>
      <c r="H96" s="25" t="s">
        <v>65</v>
      </c>
      <c r="I96" s="25" t="s">
        <v>3118</v>
      </c>
    </row>
    <row r="97" ht="15.75" customHeight="1">
      <c r="A97" s="27" t="s">
        <v>3119</v>
      </c>
      <c r="B97" s="27" t="s">
        <v>1355</v>
      </c>
      <c r="C97" s="27" t="s">
        <v>2911</v>
      </c>
      <c r="D97" s="27" t="s">
        <v>2912</v>
      </c>
      <c r="E97" s="27" t="s">
        <v>329</v>
      </c>
      <c r="F97" s="33">
        <v>45384.0</v>
      </c>
      <c r="G97" s="33">
        <v>46479.0</v>
      </c>
      <c r="H97" s="27" t="s">
        <v>65</v>
      </c>
      <c r="I97" s="27" t="s">
        <v>3120</v>
      </c>
    </row>
    <row r="98" ht="15.75" customHeight="1">
      <c r="A98" s="25" t="s">
        <v>3121</v>
      </c>
      <c r="B98" s="25" t="s">
        <v>1355</v>
      </c>
      <c r="C98" s="25" t="s">
        <v>2998</v>
      </c>
      <c r="D98" s="25" t="s">
        <v>2916</v>
      </c>
      <c r="E98" s="25" t="s">
        <v>253</v>
      </c>
      <c r="F98" s="30">
        <v>45217.0</v>
      </c>
      <c r="G98" s="30">
        <v>46313.0</v>
      </c>
      <c r="H98" s="25" t="s">
        <v>65</v>
      </c>
      <c r="I98" s="25" t="s">
        <v>3122</v>
      </c>
    </row>
    <row r="99" ht="15.75" customHeight="1">
      <c r="A99" s="27" t="s">
        <v>3123</v>
      </c>
      <c r="B99" s="27" t="s">
        <v>1367</v>
      </c>
      <c r="C99" s="27" t="s">
        <v>2942</v>
      </c>
      <c r="D99" s="27" t="s">
        <v>2943</v>
      </c>
      <c r="E99" s="27" t="s">
        <v>270</v>
      </c>
      <c r="F99" s="33">
        <v>45190.0</v>
      </c>
      <c r="G99" s="33">
        <v>46286.0</v>
      </c>
      <c r="H99" s="27" t="s">
        <v>65</v>
      </c>
      <c r="I99" s="27" t="s">
        <v>3124</v>
      </c>
    </row>
    <row r="100" ht="15.75" customHeight="1">
      <c r="A100" s="25" t="s">
        <v>3125</v>
      </c>
      <c r="B100" s="25" t="s">
        <v>1374</v>
      </c>
      <c r="C100" s="25" t="s">
        <v>2915</v>
      </c>
      <c r="D100" s="25" t="s">
        <v>2916</v>
      </c>
      <c r="E100" s="25" t="s">
        <v>253</v>
      </c>
      <c r="F100" s="30">
        <v>44459.0</v>
      </c>
      <c r="G100" s="30">
        <v>45555.0</v>
      </c>
      <c r="H100" s="25" t="s">
        <v>2932</v>
      </c>
      <c r="I100" s="25" t="s">
        <v>3126</v>
      </c>
    </row>
    <row r="101" ht="15.75" customHeight="1">
      <c r="A101" s="27" t="s">
        <v>3127</v>
      </c>
      <c r="B101" s="27" t="s">
        <v>1386</v>
      </c>
      <c r="C101" s="27" t="s">
        <v>2915</v>
      </c>
      <c r="D101" s="27" t="s">
        <v>2916</v>
      </c>
      <c r="E101" s="27" t="s">
        <v>253</v>
      </c>
      <c r="F101" s="33">
        <v>43685.0</v>
      </c>
      <c r="G101" s="33">
        <v>44781.0</v>
      </c>
      <c r="H101" s="27" t="s">
        <v>2932</v>
      </c>
      <c r="I101" s="27" t="s">
        <v>3128</v>
      </c>
    </row>
    <row r="102" ht="15.75" customHeight="1">
      <c r="A102" s="25" t="s">
        <v>3129</v>
      </c>
      <c r="B102" s="25" t="s">
        <v>1419</v>
      </c>
      <c r="C102" s="25" t="s">
        <v>2930</v>
      </c>
      <c r="D102" s="25" t="s">
        <v>2931</v>
      </c>
      <c r="E102" s="25" t="s">
        <v>246</v>
      </c>
      <c r="F102" s="30">
        <v>43864.0</v>
      </c>
      <c r="G102" s="30">
        <v>44960.0</v>
      </c>
      <c r="H102" s="25" t="s">
        <v>2932</v>
      </c>
      <c r="I102" s="25" t="s">
        <v>3130</v>
      </c>
    </row>
    <row r="103" ht="15.75" customHeight="1">
      <c r="A103" s="27" t="s">
        <v>3131</v>
      </c>
      <c r="B103" s="27" t="s">
        <v>1419</v>
      </c>
      <c r="C103" s="27" t="s">
        <v>2998</v>
      </c>
      <c r="D103" s="27" t="s">
        <v>2916</v>
      </c>
      <c r="E103" s="27" t="s">
        <v>253</v>
      </c>
      <c r="F103" s="33">
        <v>44656.0</v>
      </c>
      <c r="G103" s="33">
        <v>45752.0</v>
      </c>
      <c r="H103" s="27" t="s">
        <v>65</v>
      </c>
      <c r="I103" s="27" t="s">
        <v>3132</v>
      </c>
    </row>
    <row r="104" ht="15.75" customHeight="1">
      <c r="A104" s="25" t="s">
        <v>3133</v>
      </c>
      <c r="B104" s="25" t="s">
        <v>1431</v>
      </c>
      <c r="C104" s="25" t="s">
        <v>2956</v>
      </c>
      <c r="D104" s="25" t="s">
        <v>2957</v>
      </c>
      <c r="E104" s="25" t="s">
        <v>321</v>
      </c>
      <c r="F104" s="30">
        <v>45558.0</v>
      </c>
      <c r="G104" s="30">
        <v>46653.0</v>
      </c>
      <c r="H104" s="25" t="s">
        <v>65</v>
      </c>
      <c r="I104" s="25" t="s">
        <v>3134</v>
      </c>
    </row>
    <row r="105" ht="15.75" customHeight="1">
      <c r="A105" s="27" t="s">
        <v>3135</v>
      </c>
      <c r="B105" s="27" t="s">
        <v>1437</v>
      </c>
      <c r="C105" s="27" t="s">
        <v>2907</v>
      </c>
      <c r="D105" s="27" t="s">
        <v>2908</v>
      </c>
      <c r="E105" s="27" t="s">
        <v>288</v>
      </c>
      <c r="F105" s="33">
        <v>44056.0</v>
      </c>
      <c r="G105" s="33">
        <v>45151.0</v>
      </c>
      <c r="H105" s="27" t="s">
        <v>2932</v>
      </c>
      <c r="I105" s="27" t="s">
        <v>3136</v>
      </c>
    </row>
    <row r="106" ht="15.75" customHeight="1">
      <c r="A106" s="25" t="s">
        <v>3137</v>
      </c>
      <c r="B106" s="25" t="s">
        <v>1449</v>
      </c>
      <c r="C106" s="25" t="s">
        <v>2924</v>
      </c>
      <c r="D106" s="25" t="s">
        <v>2925</v>
      </c>
      <c r="E106" s="25" t="s">
        <v>266</v>
      </c>
      <c r="F106" s="30">
        <v>44099.0</v>
      </c>
      <c r="G106" s="30">
        <v>45194.0</v>
      </c>
      <c r="H106" s="25" t="s">
        <v>2932</v>
      </c>
      <c r="I106" s="25" t="s">
        <v>3138</v>
      </c>
    </row>
    <row r="107" ht="15.75" customHeight="1">
      <c r="A107" s="27" t="s">
        <v>3139</v>
      </c>
      <c r="B107" s="27" t="s">
        <v>1455</v>
      </c>
      <c r="C107" s="27" t="s">
        <v>2962</v>
      </c>
      <c r="D107" s="27" t="s">
        <v>2931</v>
      </c>
      <c r="E107" s="27" t="s">
        <v>246</v>
      </c>
      <c r="F107" s="33">
        <v>45452.0</v>
      </c>
      <c r="G107" s="33">
        <v>46547.0</v>
      </c>
      <c r="H107" s="27" t="s">
        <v>65</v>
      </c>
      <c r="I107" s="27" t="s">
        <v>3140</v>
      </c>
    </row>
    <row r="108" ht="15.75" customHeight="1">
      <c r="A108" s="25" t="s">
        <v>3141</v>
      </c>
      <c r="B108" s="25" t="s">
        <v>1467</v>
      </c>
      <c r="C108" s="25" t="s">
        <v>2930</v>
      </c>
      <c r="D108" s="25" t="s">
        <v>2931</v>
      </c>
      <c r="E108" s="25" t="s">
        <v>246</v>
      </c>
      <c r="F108" s="30">
        <v>45595.0</v>
      </c>
      <c r="G108" s="30">
        <v>46690.0</v>
      </c>
      <c r="H108" s="25" t="s">
        <v>65</v>
      </c>
      <c r="I108" s="25" t="s">
        <v>3142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"/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71A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2.0"/>
    <col customWidth="1" min="4" max="4" width="14.0"/>
    <col customWidth="1" min="5" max="5" width="24.0"/>
    <col customWidth="1" min="6" max="8" width="14.0"/>
    <col customWidth="1" min="9" max="9" width="12.0"/>
    <col customWidth="1" min="10" max="10" width="16.0"/>
    <col customWidth="1" min="11" max="11" width="13.0"/>
    <col customWidth="1" min="12" max="12" width="10.0"/>
    <col customWidth="1" min="13" max="13" width="14.0"/>
    <col customWidth="1" min="14" max="26" width="8.71"/>
  </cols>
  <sheetData>
    <row r="1" ht="30.0" customHeight="1">
      <c r="A1" s="23" t="s">
        <v>3143</v>
      </c>
      <c r="B1" s="23" t="s">
        <v>378</v>
      </c>
      <c r="C1" s="23" t="s">
        <v>3144</v>
      </c>
      <c r="D1" s="23" t="s">
        <v>3145</v>
      </c>
      <c r="E1" s="23" t="s">
        <v>3146</v>
      </c>
      <c r="F1" s="23" t="s">
        <v>3147</v>
      </c>
      <c r="G1" s="23" t="s">
        <v>3148</v>
      </c>
      <c r="H1" s="23" t="s">
        <v>3149</v>
      </c>
      <c r="I1" s="23" t="s">
        <v>3150</v>
      </c>
      <c r="J1" s="23" t="s">
        <v>3151</v>
      </c>
      <c r="K1" s="23" t="s">
        <v>3152</v>
      </c>
      <c r="L1" s="23" t="s">
        <v>3153</v>
      </c>
      <c r="M1" s="23" t="s">
        <v>3154</v>
      </c>
    </row>
    <row r="2">
      <c r="A2" s="25" t="s">
        <v>3155</v>
      </c>
      <c r="B2" s="25" t="s">
        <v>150</v>
      </c>
      <c r="C2" s="24">
        <v>2022.0</v>
      </c>
      <c r="D2" s="25" t="s">
        <v>3156</v>
      </c>
      <c r="E2" s="25" t="s">
        <v>3157</v>
      </c>
      <c r="F2" s="41">
        <v>3.8</v>
      </c>
      <c r="G2" s="41">
        <v>3.5</v>
      </c>
      <c r="H2" s="41">
        <v>3.6</v>
      </c>
      <c r="I2" s="25" t="s">
        <v>150</v>
      </c>
      <c r="J2" s="25" t="s">
        <v>187</v>
      </c>
      <c r="K2" s="41">
        <v>14.5</v>
      </c>
      <c r="L2" s="41">
        <v>12.8</v>
      </c>
      <c r="M2" s="30">
        <v>45007.0</v>
      </c>
    </row>
    <row r="3">
      <c r="A3" s="27" t="s">
        <v>3158</v>
      </c>
      <c r="B3" s="27" t="s">
        <v>150</v>
      </c>
      <c r="C3" s="26">
        <v>2023.0</v>
      </c>
      <c r="D3" s="27" t="s">
        <v>3156</v>
      </c>
      <c r="E3" s="27" t="s">
        <v>3159</v>
      </c>
      <c r="F3" s="42">
        <v>4.1</v>
      </c>
      <c r="G3" s="42">
        <v>2.8</v>
      </c>
      <c r="H3" s="42">
        <v>3.4</v>
      </c>
      <c r="I3" s="27" t="s">
        <v>150</v>
      </c>
      <c r="J3" s="27" t="s">
        <v>187</v>
      </c>
      <c r="K3" s="42">
        <v>4.1</v>
      </c>
      <c r="L3" s="42">
        <v>6.7</v>
      </c>
      <c r="M3" s="33">
        <v>45369.0</v>
      </c>
    </row>
    <row r="4">
      <c r="A4" s="25" t="s">
        <v>3160</v>
      </c>
      <c r="B4" s="25" t="s">
        <v>150</v>
      </c>
      <c r="C4" s="24">
        <v>2024.0</v>
      </c>
      <c r="D4" s="25" t="s">
        <v>3156</v>
      </c>
      <c r="E4" s="25" t="s">
        <v>3159</v>
      </c>
      <c r="F4" s="41">
        <v>3.7</v>
      </c>
      <c r="G4" s="41">
        <v>3.2</v>
      </c>
      <c r="H4" s="41">
        <v>3.5</v>
      </c>
      <c r="I4" s="25" t="s">
        <v>150</v>
      </c>
      <c r="J4" s="25" t="s">
        <v>187</v>
      </c>
      <c r="K4" s="41">
        <v>6.9</v>
      </c>
      <c r="L4" s="41">
        <v>7.7</v>
      </c>
      <c r="M4" s="30">
        <v>45702.0</v>
      </c>
    </row>
    <row r="5">
      <c r="A5" s="27" t="s">
        <v>3161</v>
      </c>
      <c r="B5" s="27" t="s">
        <v>152</v>
      </c>
      <c r="C5" s="26">
        <v>2022.0</v>
      </c>
      <c r="D5" s="27" t="s">
        <v>3156</v>
      </c>
      <c r="E5" s="27" t="s">
        <v>2520</v>
      </c>
      <c r="F5" s="42">
        <v>2.9</v>
      </c>
      <c r="G5" s="42">
        <v>3.2</v>
      </c>
      <c r="H5" s="42">
        <v>3.0</v>
      </c>
      <c r="I5" s="27" t="s">
        <v>150</v>
      </c>
      <c r="J5" s="27" t="s">
        <v>187</v>
      </c>
      <c r="K5" s="42">
        <v>2.3</v>
      </c>
      <c r="L5" s="42">
        <v>3.3</v>
      </c>
      <c r="M5" s="33">
        <v>44959.0</v>
      </c>
    </row>
    <row r="6">
      <c r="A6" s="25" t="s">
        <v>3162</v>
      </c>
      <c r="B6" s="25" t="s">
        <v>152</v>
      </c>
      <c r="C6" s="24">
        <v>2023.0</v>
      </c>
      <c r="D6" s="25" t="s">
        <v>3156</v>
      </c>
      <c r="E6" s="25" t="s">
        <v>2520</v>
      </c>
      <c r="F6" s="41">
        <v>3.4</v>
      </c>
      <c r="G6" s="41">
        <v>2.8</v>
      </c>
      <c r="H6" s="41">
        <v>3.1</v>
      </c>
      <c r="I6" s="25" t="s">
        <v>150</v>
      </c>
      <c r="J6" s="25" t="s">
        <v>187</v>
      </c>
      <c r="K6" s="41">
        <v>0.0</v>
      </c>
      <c r="L6" s="41">
        <v>4.3</v>
      </c>
      <c r="M6" s="30">
        <v>45303.0</v>
      </c>
    </row>
    <row r="7">
      <c r="A7" s="27" t="s">
        <v>3163</v>
      </c>
      <c r="B7" s="27" t="s">
        <v>152</v>
      </c>
      <c r="C7" s="26">
        <v>2024.0</v>
      </c>
      <c r="D7" s="27" t="s">
        <v>3156</v>
      </c>
      <c r="E7" s="27" t="s">
        <v>2520</v>
      </c>
      <c r="F7" s="42">
        <v>3.8</v>
      </c>
      <c r="G7" s="42">
        <v>3.8</v>
      </c>
      <c r="H7" s="42">
        <v>3.8</v>
      </c>
      <c r="I7" s="27" t="s">
        <v>150</v>
      </c>
      <c r="J7" s="27" t="s">
        <v>187</v>
      </c>
      <c r="K7" s="42">
        <v>2.6</v>
      </c>
      <c r="L7" s="42">
        <v>4.3</v>
      </c>
      <c r="M7" s="33">
        <v>45666.0</v>
      </c>
    </row>
    <row r="8">
      <c r="A8" s="25" t="s">
        <v>3164</v>
      </c>
      <c r="B8" s="25" t="s">
        <v>154</v>
      </c>
      <c r="C8" s="24">
        <v>2022.0</v>
      </c>
      <c r="D8" s="25" t="s">
        <v>3156</v>
      </c>
      <c r="E8" s="25" t="s">
        <v>3159</v>
      </c>
      <c r="F8" s="41">
        <v>4.1</v>
      </c>
      <c r="G8" s="41">
        <v>4.8</v>
      </c>
      <c r="H8" s="41">
        <v>4.4</v>
      </c>
      <c r="I8" s="25" t="s">
        <v>152</v>
      </c>
      <c r="J8" s="25" t="s">
        <v>187</v>
      </c>
      <c r="K8" s="41">
        <v>8.2</v>
      </c>
      <c r="L8" s="41">
        <v>9.2</v>
      </c>
      <c r="M8" s="30">
        <v>45002.0</v>
      </c>
    </row>
    <row r="9">
      <c r="A9" s="27" t="s">
        <v>3165</v>
      </c>
      <c r="B9" s="27" t="s">
        <v>154</v>
      </c>
      <c r="C9" s="26">
        <v>2023.0</v>
      </c>
      <c r="D9" s="27" t="s">
        <v>3156</v>
      </c>
      <c r="E9" s="27" t="s">
        <v>3159</v>
      </c>
      <c r="F9" s="42">
        <v>3.8</v>
      </c>
      <c r="G9" s="42">
        <v>2.8</v>
      </c>
      <c r="H9" s="42">
        <v>3.3</v>
      </c>
      <c r="I9" s="27" t="s">
        <v>152</v>
      </c>
      <c r="J9" s="27" t="s">
        <v>187</v>
      </c>
      <c r="K9" s="42">
        <v>8.8</v>
      </c>
      <c r="L9" s="42">
        <v>7.8</v>
      </c>
      <c r="M9" s="33">
        <v>45357.0</v>
      </c>
    </row>
    <row r="10">
      <c r="A10" s="25" t="s">
        <v>3166</v>
      </c>
      <c r="B10" s="25" t="s">
        <v>154</v>
      </c>
      <c r="C10" s="24">
        <v>2024.0</v>
      </c>
      <c r="D10" s="25" t="s">
        <v>3156</v>
      </c>
      <c r="E10" s="25" t="s">
        <v>3159</v>
      </c>
      <c r="F10" s="41">
        <v>4.2</v>
      </c>
      <c r="G10" s="41">
        <v>3.7</v>
      </c>
      <c r="H10" s="41">
        <v>4.0</v>
      </c>
      <c r="I10" s="25" t="s">
        <v>152</v>
      </c>
      <c r="J10" s="25" t="s">
        <v>187</v>
      </c>
      <c r="K10" s="41">
        <v>5.6</v>
      </c>
      <c r="L10" s="41">
        <v>11.4</v>
      </c>
      <c r="M10" s="30">
        <v>45663.0</v>
      </c>
    </row>
    <row r="11">
      <c r="A11" s="27" t="s">
        <v>3167</v>
      </c>
      <c r="B11" s="27" t="s">
        <v>443</v>
      </c>
      <c r="C11" s="26">
        <v>2022.0</v>
      </c>
      <c r="D11" s="27" t="s">
        <v>3156</v>
      </c>
      <c r="E11" s="27" t="s">
        <v>3159</v>
      </c>
      <c r="F11" s="42">
        <v>3.5</v>
      </c>
      <c r="G11" s="42">
        <v>4.9</v>
      </c>
      <c r="H11" s="42">
        <v>4.2</v>
      </c>
      <c r="I11" s="27" t="s">
        <v>154</v>
      </c>
      <c r="J11" s="27" t="s">
        <v>187</v>
      </c>
      <c r="K11" s="42">
        <v>4.3</v>
      </c>
      <c r="L11" s="42">
        <v>10.2</v>
      </c>
      <c r="M11" s="33">
        <v>44977.0</v>
      </c>
    </row>
    <row r="12">
      <c r="A12" s="25" t="s">
        <v>3168</v>
      </c>
      <c r="B12" s="25" t="s">
        <v>443</v>
      </c>
      <c r="C12" s="24">
        <v>2023.0</v>
      </c>
      <c r="D12" s="25" t="s">
        <v>3156</v>
      </c>
      <c r="E12" s="25" t="s">
        <v>3159</v>
      </c>
      <c r="F12" s="41">
        <v>2.6</v>
      </c>
      <c r="G12" s="41">
        <v>2.9</v>
      </c>
      <c r="H12" s="41">
        <v>2.8</v>
      </c>
      <c r="I12" s="25" t="s">
        <v>154</v>
      </c>
      <c r="J12" s="25" t="s">
        <v>187</v>
      </c>
      <c r="K12" s="41">
        <v>6.2</v>
      </c>
      <c r="L12" s="41">
        <v>8.9</v>
      </c>
      <c r="M12" s="30">
        <v>45337.0</v>
      </c>
    </row>
    <row r="13">
      <c r="A13" s="27" t="s">
        <v>3169</v>
      </c>
      <c r="B13" s="27" t="s">
        <v>443</v>
      </c>
      <c r="C13" s="26">
        <v>2024.0</v>
      </c>
      <c r="D13" s="27" t="s">
        <v>3156</v>
      </c>
      <c r="E13" s="27" t="s">
        <v>3159</v>
      </c>
      <c r="F13" s="42">
        <v>3.1</v>
      </c>
      <c r="G13" s="42">
        <v>4.4</v>
      </c>
      <c r="H13" s="42">
        <v>3.8</v>
      </c>
      <c r="I13" s="27" t="s">
        <v>154</v>
      </c>
      <c r="J13" s="27" t="s">
        <v>187</v>
      </c>
      <c r="K13" s="42">
        <v>6.6</v>
      </c>
      <c r="L13" s="42">
        <v>5.2</v>
      </c>
      <c r="M13" s="33">
        <v>45664.0</v>
      </c>
    </row>
    <row r="14">
      <c r="A14" s="25" t="s">
        <v>3170</v>
      </c>
      <c r="B14" s="25" t="s">
        <v>453</v>
      </c>
      <c r="C14" s="24">
        <v>2022.0</v>
      </c>
      <c r="D14" s="25" t="s">
        <v>3156</v>
      </c>
      <c r="E14" s="25" t="s">
        <v>3157</v>
      </c>
      <c r="F14" s="41">
        <v>2.9</v>
      </c>
      <c r="G14" s="41">
        <v>2.5</v>
      </c>
      <c r="H14" s="41">
        <v>2.7</v>
      </c>
      <c r="I14" s="25" t="s">
        <v>154</v>
      </c>
      <c r="J14" s="25" t="s">
        <v>181</v>
      </c>
      <c r="K14" s="41">
        <v>13.4</v>
      </c>
      <c r="L14" s="41">
        <v>15.1</v>
      </c>
      <c r="M14" s="30">
        <v>45001.0</v>
      </c>
    </row>
    <row r="15">
      <c r="A15" s="27" t="s">
        <v>3171</v>
      </c>
      <c r="B15" s="27" t="s">
        <v>453</v>
      </c>
      <c r="C15" s="26">
        <v>2023.0</v>
      </c>
      <c r="D15" s="27" t="s">
        <v>3156</v>
      </c>
      <c r="E15" s="27" t="s">
        <v>3157</v>
      </c>
      <c r="F15" s="42">
        <v>3.0</v>
      </c>
      <c r="G15" s="42">
        <v>4.6</v>
      </c>
      <c r="H15" s="42">
        <v>3.8</v>
      </c>
      <c r="I15" s="27" t="s">
        <v>154</v>
      </c>
      <c r="J15" s="27" t="s">
        <v>181</v>
      </c>
      <c r="K15" s="42">
        <v>11.5</v>
      </c>
      <c r="L15" s="42">
        <v>22.8</v>
      </c>
      <c r="M15" s="33">
        <v>45310.0</v>
      </c>
    </row>
    <row r="16">
      <c r="A16" s="25" t="s">
        <v>3172</v>
      </c>
      <c r="B16" s="25" t="s">
        <v>453</v>
      </c>
      <c r="C16" s="24">
        <v>2024.0</v>
      </c>
      <c r="D16" s="25" t="s">
        <v>3156</v>
      </c>
      <c r="E16" s="25" t="s">
        <v>3157</v>
      </c>
      <c r="F16" s="41">
        <v>4.5</v>
      </c>
      <c r="G16" s="41">
        <v>3.2</v>
      </c>
      <c r="H16" s="41">
        <v>3.9</v>
      </c>
      <c r="I16" s="25" t="s">
        <v>154</v>
      </c>
      <c r="J16" s="25" t="s">
        <v>181</v>
      </c>
      <c r="K16" s="41">
        <v>8.8</v>
      </c>
      <c r="L16" s="41">
        <v>15.0</v>
      </c>
      <c r="M16" s="30">
        <v>45701.0</v>
      </c>
    </row>
    <row r="17">
      <c r="A17" s="27" t="s">
        <v>3173</v>
      </c>
      <c r="B17" s="27" t="s">
        <v>464</v>
      </c>
      <c r="C17" s="26">
        <v>2022.0</v>
      </c>
      <c r="D17" s="27" t="s">
        <v>3156</v>
      </c>
      <c r="E17" s="27" t="s">
        <v>3159</v>
      </c>
      <c r="F17" s="42">
        <v>2.7</v>
      </c>
      <c r="G17" s="42">
        <v>4.7</v>
      </c>
      <c r="H17" s="42">
        <v>3.7</v>
      </c>
      <c r="I17" s="27" t="s">
        <v>154</v>
      </c>
      <c r="J17" s="27" t="s">
        <v>187</v>
      </c>
      <c r="K17" s="42">
        <v>4.4</v>
      </c>
      <c r="L17" s="42">
        <v>11.5</v>
      </c>
      <c r="M17" s="33">
        <v>44977.0</v>
      </c>
    </row>
    <row r="18">
      <c r="A18" s="25" t="s">
        <v>3174</v>
      </c>
      <c r="B18" s="25" t="s">
        <v>464</v>
      </c>
      <c r="C18" s="24">
        <v>2023.0</v>
      </c>
      <c r="D18" s="25" t="s">
        <v>3156</v>
      </c>
      <c r="E18" s="25" t="s">
        <v>3157</v>
      </c>
      <c r="F18" s="41">
        <v>4.2</v>
      </c>
      <c r="G18" s="41">
        <v>2.8</v>
      </c>
      <c r="H18" s="41">
        <v>3.5</v>
      </c>
      <c r="I18" s="25" t="s">
        <v>154</v>
      </c>
      <c r="J18" s="25" t="s">
        <v>187</v>
      </c>
      <c r="K18" s="41">
        <v>11.3</v>
      </c>
      <c r="L18" s="41">
        <v>10.4</v>
      </c>
      <c r="M18" s="30">
        <v>45296.0</v>
      </c>
    </row>
    <row r="19">
      <c r="A19" s="27" t="s">
        <v>3175</v>
      </c>
      <c r="B19" s="27" t="s">
        <v>464</v>
      </c>
      <c r="C19" s="26">
        <v>2024.0</v>
      </c>
      <c r="D19" s="27" t="s">
        <v>3156</v>
      </c>
      <c r="E19" s="27" t="s">
        <v>3159</v>
      </c>
      <c r="F19" s="42">
        <v>4.5</v>
      </c>
      <c r="G19" s="42">
        <v>3.3</v>
      </c>
      <c r="H19" s="42">
        <v>3.9</v>
      </c>
      <c r="I19" s="27" t="s">
        <v>154</v>
      </c>
      <c r="J19" s="27" t="s">
        <v>187</v>
      </c>
      <c r="K19" s="42">
        <v>8.6</v>
      </c>
      <c r="L19" s="42">
        <v>10.6</v>
      </c>
      <c r="M19" s="33">
        <v>45739.0</v>
      </c>
    </row>
    <row r="20">
      <c r="A20" s="25" t="s">
        <v>3176</v>
      </c>
      <c r="B20" s="25" t="s">
        <v>475</v>
      </c>
      <c r="C20" s="24">
        <v>2022.0</v>
      </c>
      <c r="D20" s="25" t="s">
        <v>3156</v>
      </c>
      <c r="E20" s="25" t="s">
        <v>2520</v>
      </c>
      <c r="F20" s="41">
        <v>4.5</v>
      </c>
      <c r="G20" s="41">
        <v>3.4</v>
      </c>
      <c r="H20" s="41">
        <v>4.0</v>
      </c>
      <c r="I20" s="25" t="s">
        <v>443</v>
      </c>
      <c r="J20" s="25" t="s">
        <v>187</v>
      </c>
      <c r="K20" s="41">
        <v>3.0</v>
      </c>
      <c r="L20" s="41">
        <v>2.4</v>
      </c>
      <c r="M20" s="30">
        <v>44935.0</v>
      </c>
    </row>
    <row r="21" ht="15.75" customHeight="1">
      <c r="A21" s="27" t="s">
        <v>3177</v>
      </c>
      <c r="B21" s="27" t="s">
        <v>475</v>
      </c>
      <c r="C21" s="26">
        <v>2023.0</v>
      </c>
      <c r="D21" s="27" t="s">
        <v>3156</v>
      </c>
      <c r="E21" s="27" t="s">
        <v>3159</v>
      </c>
      <c r="F21" s="42">
        <v>2.8</v>
      </c>
      <c r="G21" s="42">
        <v>3.7</v>
      </c>
      <c r="H21" s="42">
        <v>3.2</v>
      </c>
      <c r="I21" s="27" t="s">
        <v>443</v>
      </c>
      <c r="J21" s="27" t="s">
        <v>187</v>
      </c>
      <c r="K21" s="42">
        <v>5.8</v>
      </c>
      <c r="L21" s="42">
        <v>11.1</v>
      </c>
      <c r="M21" s="33">
        <v>45292.0</v>
      </c>
    </row>
    <row r="22" ht="15.75" customHeight="1">
      <c r="A22" s="25" t="s">
        <v>3178</v>
      </c>
      <c r="B22" s="25" t="s">
        <v>475</v>
      </c>
      <c r="C22" s="24">
        <v>2024.0</v>
      </c>
      <c r="D22" s="25" t="s">
        <v>3156</v>
      </c>
      <c r="E22" s="25" t="s">
        <v>3159</v>
      </c>
      <c r="F22" s="41">
        <v>4.5</v>
      </c>
      <c r="G22" s="41">
        <v>3.8</v>
      </c>
      <c r="H22" s="41">
        <v>4.2</v>
      </c>
      <c r="I22" s="25" t="s">
        <v>443</v>
      </c>
      <c r="J22" s="25" t="s">
        <v>187</v>
      </c>
      <c r="K22" s="41">
        <v>7.4</v>
      </c>
      <c r="L22" s="41">
        <v>5.4</v>
      </c>
      <c r="M22" s="30">
        <v>45721.0</v>
      </c>
    </row>
    <row r="23" ht="15.75" customHeight="1">
      <c r="A23" s="27" t="s">
        <v>3179</v>
      </c>
      <c r="B23" s="27" t="s">
        <v>487</v>
      </c>
      <c r="C23" s="26">
        <v>2022.0</v>
      </c>
      <c r="D23" s="27" t="s">
        <v>3156</v>
      </c>
      <c r="E23" s="27" t="s">
        <v>3159</v>
      </c>
      <c r="F23" s="42">
        <v>3.6</v>
      </c>
      <c r="G23" s="42">
        <v>2.8</v>
      </c>
      <c r="H23" s="42">
        <v>3.2</v>
      </c>
      <c r="I23" s="27" t="s">
        <v>443</v>
      </c>
      <c r="J23" s="27" t="s">
        <v>187</v>
      </c>
      <c r="K23" s="42">
        <v>8.5</v>
      </c>
      <c r="L23" s="42">
        <v>6.4</v>
      </c>
      <c r="M23" s="33">
        <v>44934.0</v>
      </c>
    </row>
    <row r="24" ht="15.75" customHeight="1">
      <c r="A24" s="25" t="s">
        <v>3180</v>
      </c>
      <c r="B24" s="25" t="s">
        <v>487</v>
      </c>
      <c r="C24" s="24">
        <v>2023.0</v>
      </c>
      <c r="D24" s="25" t="s">
        <v>3156</v>
      </c>
      <c r="E24" s="25" t="s">
        <v>3159</v>
      </c>
      <c r="F24" s="41">
        <v>4.0</v>
      </c>
      <c r="G24" s="41">
        <v>3.1</v>
      </c>
      <c r="H24" s="41">
        <v>3.5</v>
      </c>
      <c r="I24" s="25" t="s">
        <v>443</v>
      </c>
      <c r="J24" s="25" t="s">
        <v>187</v>
      </c>
      <c r="K24" s="41">
        <v>8.4</v>
      </c>
      <c r="L24" s="41">
        <v>11.9</v>
      </c>
      <c r="M24" s="30">
        <v>45359.0</v>
      </c>
    </row>
    <row r="25" ht="15.75" customHeight="1">
      <c r="A25" s="27" t="s">
        <v>3181</v>
      </c>
      <c r="B25" s="27" t="s">
        <v>487</v>
      </c>
      <c r="C25" s="26">
        <v>2024.0</v>
      </c>
      <c r="D25" s="27" t="s">
        <v>3156</v>
      </c>
      <c r="E25" s="27" t="s">
        <v>2520</v>
      </c>
      <c r="F25" s="42">
        <v>2.7</v>
      </c>
      <c r="G25" s="42">
        <v>2.8</v>
      </c>
      <c r="H25" s="42">
        <v>2.8</v>
      </c>
      <c r="I25" s="27" t="s">
        <v>443</v>
      </c>
      <c r="J25" s="27" t="s">
        <v>187</v>
      </c>
      <c r="K25" s="42">
        <v>1.4</v>
      </c>
      <c r="L25" s="42">
        <v>1.5</v>
      </c>
      <c r="M25" s="33">
        <v>45729.0</v>
      </c>
    </row>
    <row r="26" ht="15.75" customHeight="1">
      <c r="A26" s="25" t="s">
        <v>3182</v>
      </c>
      <c r="B26" s="25" t="s">
        <v>497</v>
      </c>
      <c r="C26" s="24">
        <v>2022.0</v>
      </c>
      <c r="D26" s="25" t="s">
        <v>3156</v>
      </c>
      <c r="E26" s="25" t="s">
        <v>3159</v>
      </c>
      <c r="F26" s="41">
        <v>2.8</v>
      </c>
      <c r="G26" s="41">
        <v>2.7</v>
      </c>
      <c r="H26" s="41">
        <v>2.8</v>
      </c>
      <c r="I26" s="25" t="s">
        <v>464</v>
      </c>
      <c r="J26" s="25" t="s">
        <v>187</v>
      </c>
      <c r="K26" s="41">
        <v>6.7</v>
      </c>
      <c r="L26" s="41">
        <v>7.5</v>
      </c>
      <c r="M26" s="30">
        <v>44941.0</v>
      </c>
    </row>
    <row r="27" ht="15.75" customHeight="1">
      <c r="A27" s="27" t="s">
        <v>3183</v>
      </c>
      <c r="B27" s="27" t="s">
        <v>497</v>
      </c>
      <c r="C27" s="26">
        <v>2023.0</v>
      </c>
      <c r="D27" s="27" t="s">
        <v>3156</v>
      </c>
      <c r="E27" s="27" t="s">
        <v>3159</v>
      </c>
      <c r="F27" s="42">
        <v>4.9</v>
      </c>
      <c r="G27" s="42">
        <v>4.5</v>
      </c>
      <c r="H27" s="42">
        <v>4.7</v>
      </c>
      <c r="I27" s="27" t="s">
        <v>464</v>
      </c>
      <c r="J27" s="27" t="s">
        <v>187</v>
      </c>
      <c r="K27" s="42">
        <v>7.3</v>
      </c>
      <c r="L27" s="42">
        <v>9.9</v>
      </c>
      <c r="M27" s="33">
        <v>45303.0</v>
      </c>
    </row>
    <row r="28" ht="15.75" customHeight="1">
      <c r="A28" s="25" t="s">
        <v>3184</v>
      </c>
      <c r="B28" s="25" t="s">
        <v>497</v>
      </c>
      <c r="C28" s="24">
        <v>2024.0</v>
      </c>
      <c r="D28" s="25" t="s">
        <v>3156</v>
      </c>
      <c r="E28" s="25" t="s">
        <v>2520</v>
      </c>
      <c r="F28" s="41">
        <v>4.3</v>
      </c>
      <c r="G28" s="41">
        <v>4.1</v>
      </c>
      <c r="H28" s="41">
        <v>4.2</v>
      </c>
      <c r="I28" s="25" t="s">
        <v>464</v>
      </c>
      <c r="J28" s="25" t="s">
        <v>187</v>
      </c>
      <c r="K28" s="41">
        <v>0.5</v>
      </c>
      <c r="L28" s="41">
        <v>3.7</v>
      </c>
      <c r="M28" s="30">
        <v>45661.0</v>
      </c>
    </row>
    <row r="29" ht="15.75" customHeight="1">
      <c r="A29" s="27" t="s">
        <v>3185</v>
      </c>
      <c r="B29" s="27" t="s">
        <v>506</v>
      </c>
      <c r="C29" s="26">
        <v>2022.0</v>
      </c>
      <c r="D29" s="27" t="s">
        <v>3156</v>
      </c>
      <c r="E29" s="27" t="s">
        <v>3159</v>
      </c>
      <c r="F29" s="42">
        <v>4.5</v>
      </c>
      <c r="G29" s="42">
        <v>2.9</v>
      </c>
      <c r="H29" s="42">
        <v>3.7</v>
      </c>
      <c r="I29" s="27" t="s">
        <v>443</v>
      </c>
      <c r="J29" s="27" t="s">
        <v>187</v>
      </c>
      <c r="K29" s="42">
        <v>7.5</v>
      </c>
      <c r="L29" s="42">
        <v>5.8</v>
      </c>
      <c r="M29" s="33">
        <v>44935.0</v>
      </c>
    </row>
    <row r="30" ht="15.75" customHeight="1">
      <c r="A30" s="25" t="s">
        <v>3186</v>
      </c>
      <c r="B30" s="25" t="s">
        <v>506</v>
      </c>
      <c r="C30" s="24">
        <v>2023.0</v>
      </c>
      <c r="D30" s="25" t="s">
        <v>3156</v>
      </c>
      <c r="E30" s="25" t="s">
        <v>3159</v>
      </c>
      <c r="F30" s="41">
        <v>3.5</v>
      </c>
      <c r="G30" s="41">
        <v>4.6</v>
      </c>
      <c r="H30" s="41">
        <v>4.0</v>
      </c>
      <c r="I30" s="25" t="s">
        <v>443</v>
      </c>
      <c r="J30" s="25" t="s">
        <v>187</v>
      </c>
      <c r="K30" s="41">
        <v>5.4</v>
      </c>
      <c r="L30" s="41">
        <v>11.0</v>
      </c>
      <c r="M30" s="30">
        <v>45299.0</v>
      </c>
    </row>
    <row r="31" ht="15.75" customHeight="1">
      <c r="A31" s="27" t="s">
        <v>3187</v>
      </c>
      <c r="B31" s="27" t="s">
        <v>506</v>
      </c>
      <c r="C31" s="26">
        <v>2024.0</v>
      </c>
      <c r="D31" s="27" t="s">
        <v>3156</v>
      </c>
      <c r="E31" s="27" t="s">
        <v>3159</v>
      </c>
      <c r="F31" s="42">
        <v>3.0</v>
      </c>
      <c r="G31" s="42">
        <v>3.6</v>
      </c>
      <c r="H31" s="42">
        <v>3.3</v>
      </c>
      <c r="I31" s="27" t="s">
        <v>443</v>
      </c>
      <c r="J31" s="27" t="s">
        <v>187</v>
      </c>
      <c r="K31" s="42">
        <v>5.5</v>
      </c>
      <c r="L31" s="42">
        <v>5.2</v>
      </c>
      <c r="M31" s="33">
        <v>45715.0</v>
      </c>
    </row>
    <row r="32" ht="15.75" customHeight="1">
      <c r="A32" s="25" t="s">
        <v>3188</v>
      </c>
      <c r="B32" s="25" t="s">
        <v>515</v>
      </c>
      <c r="C32" s="24">
        <v>2022.0</v>
      </c>
      <c r="D32" s="25" t="s">
        <v>3156</v>
      </c>
      <c r="E32" s="25" t="s">
        <v>2520</v>
      </c>
      <c r="F32" s="41">
        <v>4.5</v>
      </c>
      <c r="G32" s="41">
        <v>4.0</v>
      </c>
      <c r="H32" s="41">
        <v>4.2</v>
      </c>
      <c r="I32" s="25" t="s">
        <v>443</v>
      </c>
      <c r="J32" s="25" t="s">
        <v>187</v>
      </c>
      <c r="K32" s="41">
        <v>3.3</v>
      </c>
      <c r="L32" s="41">
        <v>3.6</v>
      </c>
      <c r="M32" s="30">
        <v>45010.0</v>
      </c>
    </row>
    <row r="33" ht="15.75" customHeight="1">
      <c r="A33" s="27" t="s">
        <v>3189</v>
      </c>
      <c r="B33" s="27" t="s">
        <v>515</v>
      </c>
      <c r="C33" s="26">
        <v>2023.0</v>
      </c>
      <c r="D33" s="27" t="s">
        <v>3156</v>
      </c>
      <c r="E33" s="27" t="s">
        <v>3157</v>
      </c>
      <c r="F33" s="42">
        <v>2.8</v>
      </c>
      <c r="G33" s="42">
        <v>3.5</v>
      </c>
      <c r="H33" s="42">
        <v>3.1</v>
      </c>
      <c r="I33" s="27" t="s">
        <v>443</v>
      </c>
      <c r="J33" s="27" t="s">
        <v>181</v>
      </c>
      <c r="K33" s="42">
        <v>13.0</v>
      </c>
      <c r="L33" s="42">
        <v>24.1</v>
      </c>
      <c r="M33" s="33">
        <v>45360.0</v>
      </c>
    </row>
    <row r="34" ht="15.75" customHeight="1">
      <c r="A34" s="25" t="s">
        <v>3190</v>
      </c>
      <c r="B34" s="25" t="s">
        <v>515</v>
      </c>
      <c r="C34" s="24">
        <v>2024.0</v>
      </c>
      <c r="D34" s="25" t="s">
        <v>3156</v>
      </c>
      <c r="E34" s="25" t="s">
        <v>3157</v>
      </c>
      <c r="F34" s="41">
        <v>3.5</v>
      </c>
      <c r="G34" s="41">
        <v>4.4</v>
      </c>
      <c r="H34" s="41">
        <v>4.0</v>
      </c>
      <c r="I34" s="25" t="s">
        <v>443</v>
      </c>
      <c r="J34" s="25" t="s">
        <v>187</v>
      </c>
      <c r="K34" s="41">
        <v>14.5</v>
      </c>
      <c r="L34" s="41">
        <v>22.0</v>
      </c>
      <c r="M34" s="30">
        <v>45726.0</v>
      </c>
    </row>
    <row r="35" ht="15.75" customHeight="1">
      <c r="A35" s="27" t="s">
        <v>3191</v>
      </c>
      <c r="B35" s="27" t="s">
        <v>523</v>
      </c>
      <c r="C35" s="26">
        <v>2022.0</v>
      </c>
      <c r="D35" s="27" t="s">
        <v>3156</v>
      </c>
      <c r="E35" s="27" t="s">
        <v>3159</v>
      </c>
      <c r="F35" s="42">
        <v>3.5</v>
      </c>
      <c r="G35" s="42">
        <v>4.0</v>
      </c>
      <c r="H35" s="42">
        <v>3.8</v>
      </c>
      <c r="I35" s="27" t="s">
        <v>475</v>
      </c>
      <c r="J35" s="27" t="s">
        <v>187</v>
      </c>
      <c r="K35" s="42">
        <v>7.3</v>
      </c>
      <c r="L35" s="42">
        <v>9.3</v>
      </c>
      <c r="M35" s="33">
        <v>45007.0</v>
      </c>
    </row>
    <row r="36" ht="15.75" customHeight="1">
      <c r="A36" s="25" t="s">
        <v>3192</v>
      </c>
      <c r="B36" s="25" t="s">
        <v>523</v>
      </c>
      <c r="C36" s="24">
        <v>2023.0</v>
      </c>
      <c r="D36" s="25" t="s">
        <v>3156</v>
      </c>
      <c r="E36" s="25" t="s">
        <v>3159</v>
      </c>
      <c r="F36" s="41">
        <v>3.2</v>
      </c>
      <c r="G36" s="41">
        <v>2.9</v>
      </c>
      <c r="H36" s="41">
        <v>3.0</v>
      </c>
      <c r="I36" s="25" t="s">
        <v>475</v>
      </c>
      <c r="J36" s="25" t="s">
        <v>187</v>
      </c>
      <c r="K36" s="41">
        <v>6.2</v>
      </c>
      <c r="L36" s="41">
        <v>8.4</v>
      </c>
      <c r="M36" s="30">
        <v>45305.0</v>
      </c>
    </row>
    <row r="37" ht="15.75" customHeight="1">
      <c r="A37" s="27" t="s">
        <v>3193</v>
      </c>
      <c r="B37" s="27" t="s">
        <v>523</v>
      </c>
      <c r="C37" s="26">
        <v>2024.0</v>
      </c>
      <c r="D37" s="27" t="s">
        <v>3156</v>
      </c>
      <c r="E37" s="27" t="s">
        <v>3157</v>
      </c>
      <c r="F37" s="42">
        <v>4.8</v>
      </c>
      <c r="G37" s="42">
        <v>3.2</v>
      </c>
      <c r="H37" s="42">
        <v>4.0</v>
      </c>
      <c r="I37" s="27" t="s">
        <v>475</v>
      </c>
      <c r="J37" s="27" t="s">
        <v>181</v>
      </c>
      <c r="K37" s="42">
        <v>12.3</v>
      </c>
      <c r="L37" s="42">
        <v>12.7</v>
      </c>
      <c r="M37" s="33">
        <v>45665.0</v>
      </c>
    </row>
    <row r="38" ht="15.75" customHeight="1">
      <c r="A38" s="25" t="s">
        <v>3194</v>
      </c>
      <c r="B38" s="25" t="s">
        <v>535</v>
      </c>
      <c r="C38" s="24">
        <v>2022.0</v>
      </c>
      <c r="D38" s="25" t="s">
        <v>3156</v>
      </c>
      <c r="E38" s="25" t="s">
        <v>3159</v>
      </c>
      <c r="F38" s="41">
        <v>2.9</v>
      </c>
      <c r="G38" s="41">
        <v>4.0</v>
      </c>
      <c r="H38" s="41">
        <v>3.5</v>
      </c>
      <c r="I38" s="25" t="s">
        <v>487</v>
      </c>
      <c r="J38" s="25" t="s">
        <v>187</v>
      </c>
      <c r="K38" s="41">
        <v>4.6</v>
      </c>
      <c r="L38" s="41">
        <v>11.0</v>
      </c>
      <c r="M38" s="30">
        <v>44944.0</v>
      </c>
    </row>
    <row r="39" ht="15.75" customHeight="1">
      <c r="A39" s="27" t="s">
        <v>3195</v>
      </c>
      <c r="B39" s="27" t="s">
        <v>535</v>
      </c>
      <c r="C39" s="26">
        <v>2023.0</v>
      </c>
      <c r="D39" s="27" t="s">
        <v>3156</v>
      </c>
      <c r="E39" s="27" t="s">
        <v>3159</v>
      </c>
      <c r="F39" s="42">
        <v>2.7</v>
      </c>
      <c r="G39" s="42">
        <v>4.3</v>
      </c>
      <c r="H39" s="42">
        <v>3.5</v>
      </c>
      <c r="I39" s="27" t="s">
        <v>487</v>
      </c>
      <c r="J39" s="27" t="s">
        <v>187</v>
      </c>
      <c r="K39" s="42">
        <v>5.3</v>
      </c>
      <c r="L39" s="42">
        <v>7.5</v>
      </c>
      <c r="M39" s="33">
        <v>45359.0</v>
      </c>
    </row>
    <row r="40" ht="15.75" customHeight="1">
      <c r="A40" s="25" t="s">
        <v>3196</v>
      </c>
      <c r="B40" s="25" t="s">
        <v>535</v>
      </c>
      <c r="C40" s="24">
        <v>2024.0</v>
      </c>
      <c r="D40" s="25" t="s">
        <v>3156</v>
      </c>
      <c r="E40" s="25" t="s">
        <v>3159</v>
      </c>
      <c r="F40" s="41">
        <v>2.7</v>
      </c>
      <c r="G40" s="41">
        <v>3.6</v>
      </c>
      <c r="H40" s="41">
        <v>3.2</v>
      </c>
      <c r="I40" s="25" t="s">
        <v>487</v>
      </c>
      <c r="J40" s="25" t="s">
        <v>187</v>
      </c>
      <c r="K40" s="41">
        <v>5.2</v>
      </c>
      <c r="L40" s="41">
        <v>10.8</v>
      </c>
      <c r="M40" s="30">
        <v>45730.0</v>
      </c>
    </row>
    <row r="41" ht="15.75" customHeight="1">
      <c r="A41" s="27" t="s">
        <v>3197</v>
      </c>
      <c r="B41" s="27" t="s">
        <v>544</v>
      </c>
      <c r="C41" s="26">
        <v>2022.0</v>
      </c>
      <c r="D41" s="27" t="s">
        <v>3156</v>
      </c>
      <c r="E41" s="27" t="s">
        <v>2520</v>
      </c>
      <c r="F41" s="42">
        <v>2.9</v>
      </c>
      <c r="G41" s="42">
        <v>3.3</v>
      </c>
      <c r="H41" s="42">
        <v>3.1</v>
      </c>
      <c r="I41" s="27" t="s">
        <v>506</v>
      </c>
      <c r="J41" s="27" t="s">
        <v>187</v>
      </c>
      <c r="K41" s="42">
        <v>1.6</v>
      </c>
      <c r="L41" s="42">
        <v>4.9</v>
      </c>
      <c r="M41" s="33">
        <v>44986.0</v>
      </c>
    </row>
    <row r="42" ht="15.75" customHeight="1">
      <c r="A42" s="25" t="s">
        <v>3198</v>
      </c>
      <c r="B42" s="25" t="s">
        <v>544</v>
      </c>
      <c r="C42" s="24">
        <v>2023.0</v>
      </c>
      <c r="D42" s="25" t="s">
        <v>3156</v>
      </c>
      <c r="E42" s="25" t="s">
        <v>3157</v>
      </c>
      <c r="F42" s="41">
        <v>2.6</v>
      </c>
      <c r="G42" s="41">
        <v>4.8</v>
      </c>
      <c r="H42" s="41">
        <v>3.7</v>
      </c>
      <c r="I42" s="25" t="s">
        <v>506</v>
      </c>
      <c r="J42" s="25" t="s">
        <v>181</v>
      </c>
      <c r="K42" s="41">
        <v>14.4</v>
      </c>
      <c r="L42" s="41">
        <v>22.1</v>
      </c>
      <c r="M42" s="30">
        <v>45374.0</v>
      </c>
    </row>
    <row r="43" ht="15.75" customHeight="1">
      <c r="A43" s="27" t="s">
        <v>3199</v>
      </c>
      <c r="B43" s="27" t="s">
        <v>544</v>
      </c>
      <c r="C43" s="26">
        <v>2024.0</v>
      </c>
      <c r="D43" s="27" t="s">
        <v>3156</v>
      </c>
      <c r="E43" s="27" t="s">
        <v>3159</v>
      </c>
      <c r="F43" s="42">
        <v>3.0</v>
      </c>
      <c r="G43" s="42">
        <v>4.6</v>
      </c>
      <c r="H43" s="42">
        <v>3.8</v>
      </c>
      <c r="I43" s="27" t="s">
        <v>506</v>
      </c>
      <c r="J43" s="27" t="s">
        <v>187</v>
      </c>
      <c r="K43" s="42">
        <v>7.6</v>
      </c>
      <c r="L43" s="42">
        <v>5.5</v>
      </c>
      <c r="M43" s="33">
        <v>45676.0</v>
      </c>
    </row>
    <row r="44" ht="15.75" customHeight="1">
      <c r="A44" s="25" t="s">
        <v>3200</v>
      </c>
      <c r="B44" s="25" t="s">
        <v>552</v>
      </c>
      <c r="C44" s="24">
        <v>2023.0</v>
      </c>
      <c r="D44" s="25" t="s">
        <v>3156</v>
      </c>
      <c r="E44" s="25" t="s">
        <v>3159</v>
      </c>
      <c r="F44" s="41">
        <v>3.9</v>
      </c>
      <c r="G44" s="41">
        <v>3.9</v>
      </c>
      <c r="H44" s="41">
        <v>3.9</v>
      </c>
      <c r="I44" s="25" t="s">
        <v>506</v>
      </c>
      <c r="J44" s="25" t="s">
        <v>187</v>
      </c>
      <c r="K44" s="41">
        <v>7.7</v>
      </c>
      <c r="L44" s="41">
        <v>5.4</v>
      </c>
      <c r="M44" s="30">
        <v>45368.0</v>
      </c>
    </row>
    <row r="45" ht="15.75" customHeight="1">
      <c r="A45" s="27" t="s">
        <v>3201</v>
      </c>
      <c r="B45" s="27" t="s">
        <v>552</v>
      </c>
      <c r="C45" s="26">
        <v>2024.0</v>
      </c>
      <c r="D45" s="27" t="s">
        <v>3156</v>
      </c>
      <c r="E45" s="27" t="s">
        <v>3159</v>
      </c>
      <c r="F45" s="42">
        <v>3.2</v>
      </c>
      <c r="G45" s="42">
        <v>4.6</v>
      </c>
      <c r="H45" s="42">
        <v>3.9</v>
      </c>
      <c r="I45" s="27" t="s">
        <v>506</v>
      </c>
      <c r="J45" s="27" t="s">
        <v>187</v>
      </c>
      <c r="K45" s="42">
        <v>5.2</v>
      </c>
      <c r="L45" s="42">
        <v>7.5</v>
      </c>
      <c r="M45" s="33">
        <v>45720.0</v>
      </c>
    </row>
    <row r="46" ht="15.75" customHeight="1">
      <c r="A46" s="25" t="s">
        <v>3202</v>
      </c>
      <c r="B46" s="25" t="s">
        <v>562</v>
      </c>
      <c r="C46" s="24">
        <v>2023.0</v>
      </c>
      <c r="D46" s="25" t="s">
        <v>3156</v>
      </c>
      <c r="E46" s="25" t="s">
        <v>3159</v>
      </c>
      <c r="F46" s="41">
        <v>3.6</v>
      </c>
      <c r="G46" s="41">
        <v>4.9</v>
      </c>
      <c r="H46" s="41">
        <v>4.2</v>
      </c>
      <c r="I46" s="25" t="s">
        <v>497</v>
      </c>
      <c r="J46" s="25" t="s">
        <v>187</v>
      </c>
      <c r="K46" s="41">
        <v>4.4</v>
      </c>
      <c r="L46" s="41">
        <v>7.5</v>
      </c>
      <c r="M46" s="30">
        <v>45306.0</v>
      </c>
    </row>
    <row r="47" ht="15.75" customHeight="1">
      <c r="A47" s="27" t="s">
        <v>3203</v>
      </c>
      <c r="B47" s="27" t="s">
        <v>562</v>
      </c>
      <c r="C47" s="26">
        <v>2024.0</v>
      </c>
      <c r="D47" s="27" t="s">
        <v>3156</v>
      </c>
      <c r="E47" s="27" t="s">
        <v>3159</v>
      </c>
      <c r="F47" s="42">
        <v>3.1</v>
      </c>
      <c r="G47" s="42">
        <v>4.6</v>
      </c>
      <c r="H47" s="42">
        <v>3.8</v>
      </c>
      <c r="I47" s="27" t="s">
        <v>497</v>
      </c>
      <c r="J47" s="27" t="s">
        <v>187</v>
      </c>
      <c r="K47" s="42">
        <v>8.6</v>
      </c>
      <c r="L47" s="42">
        <v>9.7</v>
      </c>
      <c r="M47" s="33">
        <v>45725.0</v>
      </c>
    </row>
    <row r="48" ht="15.75" customHeight="1">
      <c r="A48" s="25" t="s">
        <v>3204</v>
      </c>
      <c r="B48" s="25" t="s">
        <v>571</v>
      </c>
      <c r="C48" s="24">
        <v>2022.0</v>
      </c>
      <c r="D48" s="25" t="s">
        <v>3156</v>
      </c>
      <c r="E48" s="25" t="s">
        <v>3159</v>
      </c>
      <c r="F48" s="41">
        <v>3.4</v>
      </c>
      <c r="G48" s="41">
        <v>2.8</v>
      </c>
      <c r="H48" s="41">
        <v>3.1</v>
      </c>
      <c r="I48" s="25" t="s">
        <v>506</v>
      </c>
      <c r="J48" s="25" t="s">
        <v>187</v>
      </c>
      <c r="K48" s="41">
        <v>6.5</v>
      </c>
      <c r="L48" s="41">
        <v>11.2</v>
      </c>
      <c r="M48" s="30">
        <v>44941.0</v>
      </c>
    </row>
    <row r="49" ht="15.75" customHeight="1">
      <c r="A49" s="27" t="s">
        <v>3205</v>
      </c>
      <c r="B49" s="27" t="s">
        <v>571</v>
      </c>
      <c r="C49" s="26">
        <v>2023.0</v>
      </c>
      <c r="D49" s="27" t="s">
        <v>3156</v>
      </c>
      <c r="E49" s="27" t="s">
        <v>3157</v>
      </c>
      <c r="F49" s="42">
        <v>2.8</v>
      </c>
      <c r="G49" s="42">
        <v>3.2</v>
      </c>
      <c r="H49" s="42">
        <v>3.0</v>
      </c>
      <c r="I49" s="27" t="s">
        <v>506</v>
      </c>
      <c r="J49" s="27" t="s">
        <v>181</v>
      </c>
      <c r="K49" s="42">
        <v>11.9</v>
      </c>
      <c r="L49" s="42">
        <v>11.9</v>
      </c>
      <c r="M49" s="33">
        <v>45296.0</v>
      </c>
    </row>
    <row r="50" ht="15.75" customHeight="1">
      <c r="A50" s="25" t="s">
        <v>3206</v>
      </c>
      <c r="B50" s="25" t="s">
        <v>571</v>
      </c>
      <c r="C50" s="24">
        <v>2024.0</v>
      </c>
      <c r="D50" s="25" t="s">
        <v>3156</v>
      </c>
      <c r="E50" s="25" t="s">
        <v>3159</v>
      </c>
      <c r="F50" s="41">
        <v>3.8</v>
      </c>
      <c r="G50" s="41">
        <v>3.5</v>
      </c>
      <c r="H50" s="41">
        <v>3.6</v>
      </c>
      <c r="I50" s="25" t="s">
        <v>506</v>
      </c>
      <c r="J50" s="25" t="s">
        <v>187</v>
      </c>
      <c r="K50" s="41">
        <v>4.6</v>
      </c>
      <c r="L50" s="41">
        <v>7.1</v>
      </c>
      <c r="M50" s="30">
        <v>45707.0</v>
      </c>
    </row>
    <row r="51" ht="15.75" customHeight="1">
      <c r="A51" s="27" t="s">
        <v>3207</v>
      </c>
      <c r="B51" s="27" t="s">
        <v>581</v>
      </c>
      <c r="C51" s="26">
        <v>2022.0</v>
      </c>
      <c r="D51" s="27" t="s">
        <v>3156</v>
      </c>
      <c r="E51" s="27" t="s">
        <v>3159</v>
      </c>
      <c r="F51" s="42">
        <v>2.8</v>
      </c>
      <c r="G51" s="42">
        <v>4.3</v>
      </c>
      <c r="H51" s="42">
        <v>3.5</v>
      </c>
      <c r="I51" s="27" t="s">
        <v>475</v>
      </c>
      <c r="J51" s="27" t="s">
        <v>187</v>
      </c>
      <c r="K51" s="42">
        <v>8.6</v>
      </c>
      <c r="L51" s="42">
        <v>9.4</v>
      </c>
      <c r="M51" s="33">
        <v>44967.0</v>
      </c>
    </row>
    <row r="52" ht="15.75" customHeight="1">
      <c r="A52" s="25" t="s">
        <v>3208</v>
      </c>
      <c r="B52" s="25" t="s">
        <v>581</v>
      </c>
      <c r="C52" s="24">
        <v>2023.0</v>
      </c>
      <c r="D52" s="25" t="s">
        <v>3156</v>
      </c>
      <c r="E52" s="25" t="s">
        <v>3159</v>
      </c>
      <c r="F52" s="41">
        <v>4.3</v>
      </c>
      <c r="G52" s="41">
        <v>4.3</v>
      </c>
      <c r="H52" s="41">
        <v>4.3</v>
      </c>
      <c r="I52" s="25" t="s">
        <v>475</v>
      </c>
      <c r="J52" s="25" t="s">
        <v>187</v>
      </c>
      <c r="K52" s="41">
        <v>6.9</v>
      </c>
      <c r="L52" s="41">
        <v>6.1</v>
      </c>
      <c r="M52" s="30">
        <v>45363.0</v>
      </c>
    </row>
    <row r="53" ht="15.75" customHeight="1">
      <c r="A53" s="27" t="s">
        <v>3209</v>
      </c>
      <c r="B53" s="27" t="s">
        <v>581</v>
      </c>
      <c r="C53" s="26">
        <v>2024.0</v>
      </c>
      <c r="D53" s="27" t="s">
        <v>3156</v>
      </c>
      <c r="E53" s="27" t="s">
        <v>3159</v>
      </c>
      <c r="F53" s="42">
        <v>3.6</v>
      </c>
      <c r="G53" s="42">
        <v>3.3</v>
      </c>
      <c r="H53" s="42">
        <v>3.5</v>
      </c>
      <c r="I53" s="27" t="s">
        <v>475</v>
      </c>
      <c r="J53" s="27" t="s">
        <v>187</v>
      </c>
      <c r="K53" s="42">
        <v>7.6</v>
      </c>
      <c r="L53" s="42">
        <v>6.6</v>
      </c>
      <c r="M53" s="33">
        <v>45676.0</v>
      </c>
    </row>
    <row r="54" ht="15.75" customHeight="1">
      <c r="A54" s="25" t="s">
        <v>3210</v>
      </c>
      <c r="B54" s="25" t="s">
        <v>589</v>
      </c>
      <c r="C54" s="24">
        <v>2024.0</v>
      </c>
      <c r="D54" s="25" t="s">
        <v>3156</v>
      </c>
      <c r="E54" s="25" t="s">
        <v>3159</v>
      </c>
      <c r="F54" s="41">
        <v>3.8</v>
      </c>
      <c r="G54" s="41">
        <v>3.8</v>
      </c>
      <c r="H54" s="41">
        <v>3.8</v>
      </c>
      <c r="I54" s="25" t="s">
        <v>515</v>
      </c>
      <c r="J54" s="25" t="s">
        <v>187</v>
      </c>
      <c r="K54" s="41">
        <v>5.4</v>
      </c>
      <c r="L54" s="41">
        <v>11.7</v>
      </c>
      <c r="M54" s="30">
        <v>45740.0</v>
      </c>
    </row>
    <row r="55" ht="15.75" customHeight="1">
      <c r="A55" s="27" t="s">
        <v>3211</v>
      </c>
      <c r="B55" s="27" t="s">
        <v>597</v>
      </c>
      <c r="C55" s="26">
        <v>2022.0</v>
      </c>
      <c r="D55" s="27" t="s">
        <v>3156</v>
      </c>
      <c r="E55" s="27" t="s">
        <v>3159</v>
      </c>
      <c r="F55" s="42">
        <v>3.8</v>
      </c>
      <c r="G55" s="42">
        <v>3.9</v>
      </c>
      <c r="H55" s="42">
        <v>3.8</v>
      </c>
      <c r="I55" s="27" t="s">
        <v>571</v>
      </c>
      <c r="J55" s="27" t="s">
        <v>187</v>
      </c>
      <c r="K55" s="42">
        <v>4.5</v>
      </c>
      <c r="L55" s="42">
        <v>6.9</v>
      </c>
      <c r="M55" s="33">
        <v>44936.0</v>
      </c>
    </row>
    <row r="56" ht="15.75" customHeight="1">
      <c r="A56" s="25" t="s">
        <v>3212</v>
      </c>
      <c r="B56" s="25" t="s">
        <v>597</v>
      </c>
      <c r="C56" s="24">
        <v>2023.0</v>
      </c>
      <c r="D56" s="25" t="s">
        <v>3156</v>
      </c>
      <c r="E56" s="25" t="s">
        <v>2520</v>
      </c>
      <c r="F56" s="41">
        <v>3.1</v>
      </c>
      <c r="G56" s="41">
        <v>4.0</v>
      </c>
      <c r="H56" s="41">
        <v>3.5</v>
      </c>
      <c r="I56" s="25" t="s">
        <v>571</v>
      </c>
      <c r="J56" s="25" t="s">
        <v>187</v>
      </c>
      <c r="K56" s="41">
        <v>1.1</v>
      </c>
      <c r="L56" s="41">
        <v>2.5</v>
      </c>
      <c r="M56" s="30">
        <v>45292.0</v>
      </c>
    </row>
    <row r="57" ht="15.75" customHeight="1">
      <c r="A57" s="27" t="s">
        <v>3213</v>
      </c>
      <c r="B57" s="27" t="s">
        <v>597</v>
      </c>
      <c r="C57" s="26">
        <v>2024.0</v>
      </c>
      <c r="D57" s="27" t="s">
        <v>3156</v>
      </c>
      <c r="E57" s="27" t="s">
        <v>3159</v>
      </c>
      <c r="F57" s="42">
        <v>2.6</v>
      </c>
      <c r="G57" s="42">
        <v>4.7</v>
      </c>
      <c r="H57" s="42">
        <v>3.7</v>
      </c>
      <c r="I57" s="27" t="s">
        <v>571</v>
      </c>
      <c r="J57" s="27" t="s">
        <v>187</v>
      </c>
      <c r="K57" s="42">
        <v>5.0</v>
      </c>
      <c r="L57" s="42">
        <v>7.6</v>
      </c>
      <c r="M57" s="33">
        <v>45730.0</v>
      </c>
    </row>
    <row r="58" ht="15.75" customHeight="1">
      <c r="A58" s="25" t="s">
        <v>3214</v>
      </c>
      <c r="B58" s="25" t="s">
        <v>605</v>
      </c>
      <c r="C58" s="24">
        <v>2022.0</v>
      </c>
      <c r="D58" s="25" t="s">
        <v>3156</v>
      </c>
      <c r="E58" s="25" t="s">
        <v>3159</v>
      </c>
      <c r="F58" s="41">
        <v>3.8</v>
      </c>
      <c r="G58" s="41">
        <v>4.6</v>
      </c>
      <c r="H58" s="41">
        <v>4.2</v>
      </c>
      <c r="I58" s="25" t="s">
        <v>552</v>
      </c>
      <c r="J58" s="25" t="s">
        <v>187</v>
      </c>
      <c r="K58" s="41">
        <v>4.5</v>
      </c>
      <c r="L58" s="41">
        <v>8.1</v>
      </c>
      <c r="M58" s="30">
        <v>44960.0</v>
      </c>
    </row>
    <row r="59" ht="15.75" customHeight="1">
      <c r="A59" s="27" t="s">
        <v>3215</v>
      </c>
      <c r="B59" s="27" t="s">
        <v>605</v>
      </c>
      <c r="C59" s="26">
        <v>2023.0</v>
      </c>
      <c r="D59" s="27" t="s">
        <v>3156</v>
      </c>
      <c r="E59" s="27" t="s">
        <v>2520</v>
      </c>
      <c r="F59" s="42">
        <v>5.0</v>
      </c>
      <c r="G59" s="42">
        <v>4.3</v>
      </c>
      <c r="H59" s="42">
        <v>4.7</v>
      </c>
      <c r="I59" s="27" t="s">
        <v>552</v>
      </c>
      <c r="J59" s="27" t="s">
        <v>187</v>
      </c>
      <c r="K59" s="42">
        <v>0.3</v>
      </c>
      <c r="L59" s="42">
        <v>1.6</v>
      </c>
      <c r="M59" s="33">
        <v>45362.0</v>
      </c>
    </row>
    <row r="60" ht="15.75" customHeight="1">
      <c r="A60" s="25" t="s">
        <v>3216</v>
      </c>
      <c r="B60" s="25" t="s">
        <v>605</v>
      </c>
      <c r="C60" s="24">
        <v>2024.0</v>
      </c>
      <c r="D60" s="25" t="s">
        <v>3156</v>
      </c>
      <c r="E60" s="25" t="s">
        <v>3159</v>
      </c>
      <c r="F60" s="41">
        <v>4.1</v>
      </c>
      <c r="G60" s="41">
        <v>3.8</v>
      </c>
      <c r="H60" s="41">
        <v>3.9</v>
      </c>
      <c r="I60" s="25" t="s">
        <v>552</v>
      </c>
      <c r="J60" s="25" t="s">
        <v>187</v>
      </c>
      <c r="K60" s="41">
        <v>7.5</v>
      </c>
      <c r="L60" s="41">
        <v>8.0</v>
      </c>
      <c r="M60" s="30">
        <v>45727.0</v>
      </c>
    </row>
    <row r="61" ht="15.75" customHeight="1">
      <c r="A61" s="27" t="s">
        <v>3217</v>
      </c>
      <c r="B61" s="27" t="s">
        <v>613</v>
      </c>
      <c r="C61" s="26">
        <v>2022.0</v>
      </c>
      <c r="D61" s="27" t="s">
        <v>3156</v>
      </c>
      <c r="E61" s="27" t="s">
        <v>3157</v>
      </c>
      <c r="F61" s="42">
        <v>3.9</v>
      </c>
      <c r="G61" s="42">
        <v>4.6</v>
      </c>
      <c r="H61" s="42">
        <v>4.2</v>
      </c>
      <c r="I61" s="27" t="s">
        <v>589</v>
      </c>
      <c r="J61" s="27" t="s">
        <v>187</v>
      </c>
      <c r="K61" s="42">
        <v>12.4</v>
      </c>
      <c r="L61" s="42">
        <v>13.7</v>
      </c>
      <c r="M61" s="33">
        <v>44935.0</v>
      </c>
    </row>
    <row r="62" ht="15.75" customHeight="1">
      <c r="A62" s="25" t="s">
        <v>3218</v>
      </c>
      <c r="B62" s="25" t="s">
        <v>613</v>
      </c>
      <c r="C62" s="24">
        <v>2023.0</v>
      </c>
      <c r="D62" s="25" t="s">
        <v>3156</v>
      </c>
      <c r="E62" s="25" t="s">
        <v>3159</v>
      </c>
      <c r="F62" s="41">
        <v>3.7</v>
      </c>
      <c r="G62" s="41">
        <v>3.0</v>
      </c>
      <c r="H62" s="41">
        <v>3.4</v>
      </c>
      <c r="I62" s="25" t="s">
        <v>589</v>
      </c>
      <c r="J62" s="25" t="s">
        <v>187</v>
      </c>
      <c r="K62" s="41">
        <v>4.7</v>
      </c>
      <c r="L62" s="41">
        <v>8.6</v>
      </c>
      <c r="M62" s="30">
        <v>45292.0</v>
      </c>
    </row>
    <row r="63" ht="15.75" customHeight="1">
      <c r="A63" s="27" t="s">
        <v>3219</v>
      </c>
      <c r="B63" s="27" t="s">
        <v>613</v>
      </c>
      <c r="C63" s="26">
        <v>2024.0</v>
      </c>
      <c r="D63" s="27" t="s">
        <v>3156</v>
      </c>
      <c r="E63" s="27" t="s">
        <v>3159</v>
      </c>
      <c r="F63" s="42">
        <v>3.7</v>
      </c>
      <c r="G63" s="42">
        <v>4.0</v>
      </c>
      <c r="H63" s="42">
        <v>3.9</v>
      </c>
      <c r="I63" s="27" t="s">
        <v>589</v>
      </c>
      <c r="J63" s="27" t="s">
        <v>187</v>
      </c>
      <c r="K63" s="42">
        <v>4.2</v>
      </c>
      <c r="L63" s="42">
        <v>9.4</v>
      </c>
      <c r="M63" s="33">
        <v>45704.0</v>
      </c>
    </row>
    <row r="64" ht="15.75" customHeight="1">
      <c r="A64" s="25" t="s">
        <v>3220</v>
      </c>
      <c r="B64" s="25" t="s">
        <v>620</v>
      </c>
      <c r="C64" s="24">
        <v>2022.0</v>
      </c>
      <c r="D64" s="25" t="s">
        <v>3156</v>
      </c>
      <c r="E64" s="25" t="s">
        <v>3159</v>
      </c>
      <c r="F64" s="41">
        <v>4.9</v>
      </c>
      <c r="G64" s="41">
        <v>4.7</v>
      </c>
      <c r="H64" s="41">
        <v>4.8</v>
      </c>
      <c r="I64" s="25" t="s">
        <v>562</v>
      </c>
      <c r="J64" s="25" t="s">
        <v>187</v>
      </c>
      <c r="K64" s="41">
        <v>8.4</v>
      </c>
      <c r="L64" s="41">
        <v>9.4</v>
      </c>
      <c r="M64" s="30">
        <v>45001.0</v>
      </c>
    </row>
    <row r="65" ht="15.75" customHeight="1">
      <c r="A65" s="27" t="s">
        <v>3221</v>
      </c>
      <c r="B65" s="27" t="s">
        <v>620</v>
      </c>
      <c r="C65" s="26">
        <v>2023.0</v>
      </c>
      <c r="D65" s="27" t="s">
        <v>3156</v>
      </c>
      <c r="E65" s="27" t="s">
        <v>3159</v>
      </c>
      <c r="F65" s="42">
        <v>3.0</v>
      </c>
      <c r="G65" s="42">
        <v>4.9</v>
      </c>
      <c r="H65" s="42">
        <v>4.0</v>
      </c>
      <c r="I65" s="27" t="s">
        <v>562</v>
      </c>
      <c r="J65" s="27" t="s">
        <v>187</v>
      </c>
      <c r="K65" s="42">
        <v>7.8</v>
      </c>
      <c r="L65" s="42">
        <v>6.7</v>
      </c>
      <c r="M65" s="33">
        <v>45306.0</v>
      </c>
    </row>
    <row r="66" ht="15.75" customHeight="1">
      <c r="A66" s="25" t="s">
        <v>3222</v>
      </c>
      <c r="B66" s="25" t="s">
        <v>620</v>
      </c>
      <c r="C66" s="24">
        <v>2024.0</v>
      </c>
      <c r="D66" s="25" t="s">
        <v>3156</v>
      </c>
      <c r="E66" s="25" t="s">
        <v>3223</v>
      </c>
      <c r="F66" s="41">
        <v>4.2</v>
      </c>
      <c r="G66" s="41">
        <v>3.4</v>
      </c>
      <c r="H66" s="41">
        <v>3.8</v>
      </c>
      <c r="I66" s="25" t="s">
        <v>562</v>
      </c>
      <c r="J66" s="25" t="s">
        <v>187</v>
      </c>
      <c r="K66" s="41">
        <v>0.0</v>
      </c>
      <c r="L66" s="41">
        <v>0.0</v>
      </c>
      <c r="M66" s="30">
        <v>45724.0</v>
      </c>
    </row>
    <row r="67" ht="15.75" customHeight="1">
      <c r="A67" s="27" t="s">
        <v>3224</v>
      </c>
      <c r="B67" s="27" t="s">
        <v>628</v>
      </c>
      <c r="C67" s="26">
        <v>2022.0</v>
      </c>
      <c r="D67" s="27" t="s">
        <v>3156</v>
      </c>
      <c r="E67" s="27" t="s">
        <v>3157</v>
      </c>
      <c r="F67" s="42">
        <v>3.2</v>
      </c>
      <c r="G67" s="42">
        <v>3.0</v>
      </c>
      <c r="H67" s="42">
        <v>3.1</v>
      </c>
      <c r="I67" s="27" t="s">
        <v>589</v>
      </c>
      <c r="J67" s="27" t="s">
        <v>181</v>
      </c>
      <c r="K67" s="42">
        <v>14.0</v>
      </c>
      <c r="L67" s="42">
        <v>14.8</v>
      </c>
      <c r="M67" s="33">
        <v>44970.0</v>
      </c>
    </row>
    <row r="68" ht="15.75" customHeight="1">
      <c r="A68" s="25" t="s">
        <v>3225</v>
      </c>
      <c r="B68" s="25" t="s">
        <v>628</v>
      </c>
      <c r="C68" s="24">
        <v>2023.0</v>
      </c>
      <c r="D68" s="25" t="s">
        <v>3156</v>
      </c>
      <c r="E68" s="25" t="s">
        <v>3159</v>
      </c>
      <c r="F68" s="41">
        <v>2.6</v>
      </c>
      <c r="G68" s="41">
        <v>3.7</v>
      </c>
      <c r="H68" s="41">
        <v>3.2</v>
      </c>
      <c r="I68" s="25" t="s">
        <v>589</v>
      </c>
      <c r="J68" s="25" t="s">
        <v>187</v>
      </c>
      <c r="K68" s="41">
        <v>7.2</v>
      </c>
      <c r="L68" s="41">
        <v>6.5</v>
      </c>
      <c r="M68" s="30">
        <v>45358.0</v>
      </c>
    </row>
    <row r="69" ht="15.75" customHeight="1">
      <c r="A69" s="27" t="s">
        <v>3226</v>
      </c>
      <c r="B69" s="27" t="s">
        <v>628</v>
      </c>
      <c r="C69" s="26">
        <v>2024.0</v>
      </c>
      <c r="D69" s="27" t="s">
        <v>3156</v>
      </c>
      <c r="E69" s="27" t="s">
        <v>3159</v>
      </c>
      <c r="F69" s="42">
        <v>2.8</v>
      </c>
      <c r="G69" s="42">
        <v>4.9</v>
      </c>
      <c r="H69" s="42">
        <v>3.9</v>
      </c>
      <c r="I69" s="27" t="s">
        <v>589</v>
      </c>
      <c r="J69" s="27" t="s">
        <v>187</v>
      </c>
      <c r="K69" s="42">
        <v>4.6</v>
      </c>
      <c r="L69" s="42">
        <v>5.1</v>
      </c>
      <c r="M69" s="33">
        <v>45727.0</v>
      </c>
    </row>
    <row r="70" ht="15.75" customHeight="1">
      <c r="A70" s="25" t="s">
        <v>3227</v>
      </c>
      <c r="B70" s="25" t="s">
        <v>635</v>
      </c>
      <c r="C70" s="24">
        <v>2022.0</v>
      </c>
      <c r="D70" s="25" t="s">
        <v>3156</v>
      </c>
      <c r="E70" s="25" t="s">
        <v>2520</v>
      </c>
      <c r="F70" s="41">
        <v>4.4</v>
      </c>
      <c r="G70" s="41">
        <v>3.9</v>
      </c>
      <c r="H70" s="41">
        <v>4.2</v>
      </c>
      <c r="I70" s="25" t="s">
        <v>562</v>
      </c>
      <c r="J70" s="25" t="s">
        <v>187</v>
      </c>
      <c r="K70" s="41">
        <v>1.4</v>
      </c>
      <c r="L70" s="41">
        <v>2.7</v>
      </c>
      <c r="M70" s="30">
        <v>44993.0</v>
      </c>
    </row>
    <row r="71" ht="15.75" customHeight="1">
      <c r="A71" s="27" t="s">
        <v>3228</v>
      </c>
      <c r="B71" s="27" t="s">
        <v>635</v>
      </c>
      <c r="C71" s="26">
        <v>2023.0</v>
      </c>
      <c r="D71" s="27" t="s">
        <v>3156</v>
      </c>
      <c r="E71" s="27" t="s">
        <v>3159</v>
      </c>
      <c r="F71" s="42">
        <v>2.9</v>
      </c>
      <c r="G71" s="42">
        <v>3.4</v>
      </c>
      <c r="H71" s="42">
        <v>3.1</v>
      </c>
      <c r="I71" s="27" t="s">
        <v>562</v>
      </c>
      <c r="J71" s="27" t="s">
        <v>187</v>
      </c>
      <c r="K71" s="42">
        <v>6.8</v>
      </c>
      <c r="L71" s="42">
        <v>10.9</v>
      </c>
      <c r="M71" s="33">
        <v>45355.0</v>
      </c>
    </row>
    <row r="72" ht="15.75" customHeight="1">
      <c r="A72" s="25" t="s">
        <v>3229</v>
      </c>
      <c r="B72" s="25" t="s">
        <v>635</v>
      </c>
      <c r="C72" s="24">
        <v>2024.0</v>
      </c>
      <c r="D72" s="25" t="s">
        <v>3156</v>
      </c>
      <c r="E72" s="25" t="s">
        <v>3159</v>
      </c>
      <c r="F72" s="41">
        <v>4.5</v>
      </c>
      <c r="G72" s="41">
        <v>2.6</v>
      </c>
      <c r="H72" s="41">
        <v>3.5</v>
      </c>
      <c r="I72" s="25" t="s">
        <v>562</v>
      </c>
      <c r="J72" s="25" t="s">
        <v>187</v>
      </c>
      <c r="K72" s="41">
        <v>4.1</v>
      </c>
      <c r="L72" s="41">
        <v>5.2</v>
      </c>
      <c r="M72" s="30">
        <v>45709.0</v>
      </c>
    </row>
    <row r="73" ht="15.75" customHeight="1">
      <c r="A73" s="27" t="s">
        <v>3230</v>
      </c>
      <c r="B73" s="27" t="s">
        <v>643</v>
      </c>
      <c r="C73" s="26">
        <v>2022.0</v>
      </c>
      <c r="D73" s="27" t="s">
        <v>3156</v>
      </c>
      <c r="E73" s="27" t="s">
        <v>3159</v>
      </c>
      <c r="F73" s="42">
        <v>4.5</v>
      </c>
      <c r="G73" s="42">
        <v>4.7</v>
      </c>
      <c r="H73" s="42">
        <v>4.6</v>
      </c>
      <c r="I73" s="27" t="s">
        <v>535</v>
      </c>
      <c r="J73" s="27" t="s">
        <v>187</v>
      </c>
      <c r="K73" s="42">
        <v>4.4</v>
      </c>
      <c r="L73" s="42">
        <v>10.1</v>
      </c>
      <c r="M73" s="33">
        <v>45012.0</v>
      </c>
    </row>
    <row r="74" ht="15.75" customHeight="1">
      <c r="A74" s="25" t="s">
        <v>3231</v>
      </c>
      <c r="B74" s="25" t="s">
        <v>643</v>
      </c>
      <c r="C74" s="24">
        <v>2023.0</v>
      </c>
      <c r="D74" s="25" t="s">
        <v>3156</v>
      </c>
      <c r="E74" s="25" t="s">
        <v>3159</v>
      </c>
      <c r="F74" s="41">
        <v>4.8</v>
      </c>
      <c r="G74" s="41">
        <v>2.7</v>
      </c>
      <c r="H74" s="41">
        <v>3.8</v>
      </c>
      <c r="I74" s="25" t="s">
        <v>535</v>
      </c>
      <c r="J74" s="25" t="s">
        <v>187</v>
      </c>
      <c r="K74" s="41">
        <v>6.0</v>
      </c>
      <c r="L74" s="41">
        <v>10.5</v>
      </c>
      <c r="M74" s="30">
        <v>45352.0</v>
      </c>
    </row>
    <row r="75" ht="15.75" customHeight="1">
      <c r="A75" s="27" t="s">
        <v>3232</v>
      </c>
      <c r="B75" s="27" t="s">
        <v>643</v>
      </c>
      <c r="C75" s="26">
        <v>2024.0</v>
      </c>
      <c r="D75" s="27" t="s">
        <v>3156</v>
      </c>
      <c r="E75" s="27" t="s">
        <v>3159</v>
      </c>
      <c r="F75" s="42">
        <v>3.6</v>
      </c>
      <c r="G75" s="42">
        <v>2.7</v>
      </c>
      <c r="H75" s="42">
        <v>3.2</v>
      </c>
      <c r="I75" s="27" t="s">
        <v>535</v>
      </c>
      <c r="J75" s="27" t="s">
        <v>187</v>
      </c>
      <c r="K75" s="42">
        <v>6.9</v>
      </c>
      <c r="L75" s="42">
        <v>6.6</v>
      </c>
      <c r="M75" s="33">
        <v>45704.0</v>
      </c>
    </row>
    <row r="76" ht="15.75" customHeight="1">
      <c r="A76" s="25" t="s">
        <v>3233</v>
      </c>
      <c r="B76" s="25" t="s">
        <v>651</v>
      </c>
      <c r="C76" s="24">
        <v>2022.0</v>
      </c>
      <c r="D76" s="25" t="s">
        <v>3156</v>
      </c>
      <c r="E76" s="25" t="s">
        <v>3159</v>
      </c>
      <c r="F76" s="41">
        <v>4.3</v>
      </c>
      <c r="G76" s="41">
        <v>3.8</v>
      </c>
      <c r="H76" s="41">
        <v>4.0</v>
      </c>
      <c r="I76" s="25" t="s">
        <v>535</v>
      </c>
      <c r="J76" s="25" t="s">
        <v>187</v>
      </c>
      <c r="K76" s="41">
        <v>9.0</v>
      </c>
      <c r="L76" s="41">
        <v>10.3</v>
      </c>
      <c r="M76" s="30">
        <v>44965.0</v>
      </c>
    </row>
    <row r="77" ht="15.75" customHeight="1">
      <c r="A77" s="27" t="s">
        <v>3234</v>
      </c>
      <c r="B77" s="27" t="s">
        <v>651</v>
      </c>
      <c r="C77" s="26">
        <v>2023.0</v>
      </c>
      <c r="D77" s="27" t="s">
        <v>3156</v>
      </c>
      <c r="E77" s="27" t="s">
        <v>3159</v>
      </c>
      <c r="F77" s="42">
        <v>2.6</v>
      </c>
      <c r="G77" s="42">
        <v>4.4</v>
      </c>
      <c r="H77" s="42">
        <v>3.5</v>
      </c>
      <c r="I77" s="27" t="s">
        <v>535</v>
      </c>
      <c r="J77" s="27" t="s">
        <v>187</v>
      </c>
      <c r="K77" s="42">
        <v>6.4</v>
      </c>
      <c r="L77" s="42">
        <v>6.0</v>
      </c>
      <c r="M77" s="33">
        <v>45295.0</v>
      </c>
    </row>
    <row r="78" ht="15.75" customHeight="1">
      <c r="A78" s="25" t="s">
        <v>3235</v>
      </c>
      <c r="B78" s="25" t="s">
        <v>651</v>
      </c>
      <c r="C78" s="24">
        <v>2024.0</v>
      </c>
      <c r="D78" s="25" t="s">
        <v>3156</v>
      </c>
      <c r="E78" s="25" t="s">
        <v>3159</v>
      </c>
      <c r="F78" s="41">
        <v>3.0</v>
      </c>
      <c r="G78" s="41">
        <v>4.9</v>
      </c>
      <c r="H78" s="41">
        <v>4.0</v>
      </c>
      <c r="I78" s="25" t="s">
        <v>535</v>
      </c>
      <c r="J78" s="25" t="s">
        <v>187</v>
      </c>
      <c r="K78" s="41">
        <v>4.4</v>
      </c>
      <c r="L78" s="41">
        <v>8.7</v>
      </c>
      <c r="M78" s="30">
        <v>45659.0</v>
      </c>
    </row>
    <row r="79" ht="15.75" customHeight="1">
      <c r="A79" s="27" t="s">
        <v>3236</v>
      </c>
      <c r="B79" s="27" t="s">
        <v>658</v>
      </c>
      <c r="C79" s="26">
        <v>2022.0</v>
      </c>
      <c r="D79" s="27" t="s">
        <v>3156</v>
      </c>
      <c r="E79" s="27" t="s">
        <v>3159</v>
      </c>
      <c r="F79" s="42">
        <v>3.1</v>
      </c>
      <c r="G79" s="42">
        <v>3.3</v>
      </c>
      <c r="H79" s="42">
        <v>3.2</v>
      </c>
      <c r="I79" s="27" t="s">
        <v>544</v>
      </c>
      <c r="J79" s="27" t="s">
        <v>187</v>
      </c>
      <c r="K79" s="42">
        <v>4.8</v>
      </c>
      <c r="L79" s="42">
        <v>7.8</v>
      </c>
      <c r="M79" s="33">
        <v>44992.0</v>
      </c>
    </row>
    <row r="80" ht="15.75" customHeight="1">
      <c r="A80" s="25" t="s">
        <v>3237</v>
      </c>
      <c r="B80" s="25" t="s">
        <v>658</v>
      </c>
      <c r="C80" s="24">
        <v>2023.0</v>
      </c>
      <c r="D80" s="25" t="s">
        <v>3156</v>
      </c>
      <c r="E80" s="25" t="s">
        <v>3159</v>
      </c>
      <c r="F80" s="41">
        <v>4.5</v>
      </c>
      <c r="G80" s="41">
        <v>3.9</v>
      </c>
      <c r="H80" s="41">
        <v>4.2</v>
      </c>
      <c r="I80" s="25" t="s">
        <v>544</v>
      </c>
      <c r="J80" s="25" t="s">
        <v>187</v>
      </c>
      <c r="K80" s="41">
        <v>7.3</v>
      </c>
      <c r="L80" s="41">
        <v>8.6</v>
      </c>
      <c r="M80" s="30">
        <v>45354.0</v>
      </c>
    </row>
    <row r="81" ht="15.75" customHeight="1">
      <c r="A81" s="27" t="s">
        <v>3238</v>
      </c>
      <c r="B81" s="27" t="s">
        <v>658</v>
      </c>
      <c r="C81" s="26">
        <v>2024.0</v>
      </c>
      <c r="D81" s="27" t="s">
        <v>3156</v>
      </c>
      <c r="E81" s="27" t="s">
        <v>2520</v>
      </c>
      <c r="F81" s="42">
        <v>3.6</v>
      </c>
      <c r="G81" s="42">
        <v>2.7</v>
      </c>
      <c r="H81" s="42">
        <v>3.2</v>
      </c>
      <c r="I81" s="27" t="s">
        <v>544</v>
      </c>
      <c r="J81" s="27" t="s">
        <v>187</v>
      </c>
      <c r="K81" s="42">
        <v>2.1</v>
      </c>
      <c r="L81" s="42">
        <v>4.3</v>
      </c>
      <c r="M81" s="33">
        <v>45659.0</v>
      </c>
    </row>
    <row r="82" ht="15.75" customHeight="1">
      <c r="A82" s="25" t="s">
        <v>3239</v>
      </c>
      <c r="B82" s="25" t="s">
        <v>665</v>
      </c>
      <c r="C82" s="24">
        <v>2022.0</v>
      </c>
      <c r="D82" s="25" t="s">
        <v>3156</v>
      </c>
      <c r="E82" s="25" t="s">
        <v>2520</v>
      </c>
      <c r="F82" s="41">
        <v>3.7</v>
      </c>
      <c r="G82" s="41">
        <v>4.1</v>
      </c>
      <c r="H82" s="41">
        <v>3.9</v>
      </c>
      <c r="I82" s="25" t="s">
        <v>562</v>
      </c>
      <c r="J82" s="25" t="s">
        <v>187</v>
      </c>
      <c r="K82" s="41">
        <v>3.5</v>
      </c>
      <c r="L82" s="41">
        <v>0.6</v>
      </c>
      <c r="M82" s="30">
        <v>44981.0</v>
      </c>
    </row>
    <row r="83" ht="15.75" customHeight="1">
      <c r="A83" s="27" t="s">
        <v>3240</v>
      </c>
      <c r="B83" s="27" t="s">
        <v>665</v>
      </c>
      <c r="C83" s="26">
        <v>2023.0</v>
      </c>
      <c r="D83" s="27" t="s">
        <v>3156</v>
      </c>
      <c r="E83" s="27" t="s">
        <v>2520</v>
      </c>
      <c r="F83" s="42">
        <v>4.2</v>
      </c>
      <c r="G83" s="42">
        <v>3.8</v>
      </c>
      <c r="H83" s="42">
        <v>4.0</v>
      </c>
      <c r="I83" s="27" t="s">
        <v>562</v>
      </c>
      <c r="J83" s="27" t="s">
        <v>187</v>
      </c>
      <c r="K83" s="42">
        <v>2.6</v>
      </c>
      <c r="L83" s="42">
        <v>1.0</v>
      </c>
      <c r="M83" s="33">
        <v>45374.0</v>
      </c>
    </row>
    <row r="84" ht="15.75" customHeight="1">
      <c r="A84" s="25" t="s">
        <v>3241</v>
      </c>
      <c r="B84" s="25" t="s">
        <v>665</v>
      </c>
      <c r="C84" s="24">
        <v>2024.0</v>
      </c>
      <c r="D84" s="25" t="s">
        <v>3156</v>
      </c>
      <c r="E84" s="25" t="s">
        <v>3159</v>
      </c>
      <c r="F84" s="41">
        <v>4.0</v>
      </c>
      <c r="G84" s="41">
        <v>3.7</v>
      </c>
      <c r="H84" s="41">
        <v>3.9</v>
      </c>
      <c r="I84" s="25" t="s">
        <v>562</v>
      </c>
      <c r="J84" s="25" t="s">
        <v>187</v>
      </c>
      <c r="K84" s="41">
        <v>5.7</v>
      </c>
      <c r="L84" s="41">
        <v>11.5</v>
      </c>
      <c r="M84" s="30">
        <v>45743.0</v>
      </c>
    </row>
    <row r="85" ht="15.75" customHeight="1">
      <c r="A85" s="27" t="s">
        <v>3242</v>
      </c>
      <c r="B85" s="27" t="s">
        <v>675</v>
      </c>
      <c r="C85" s="26">
        <v>2022.0</v>
      </c>
      <c r="D85" s="27" t="s">
        <v>3156</v>
      </c>
      <c r="E85" s="27" t="s">
        <v>3159</v>
      </c>
      <c r="F85" s="42">
        <v>3.3</v>
      </c>
      <c r="G85" s="42">
        <v>2.9</v>
      </c>
      <c r="H85" s="42">
        <v>3.1</v>
      </c>
      <c r="I85" s="27" t="s">
        <v>523</v>
      </c>
      <c r="J85" s="27" t="s">
        <v>187</v>
      </c>
      <c r="K85" s="42">
        <v>9.0</v>
      </c>
      <c r="L85" s="42">
        <v>6.4</v>
      </c>
      <c r="M85" s="33">
        <v>44968.0</v>
      </c>
    </row>
    <row r="86" ht="15.75" customHeight="1">
      <c r="A86" s="25" t="s">
        <v>3243</v>
      </c>
      <c r="B86" s="25" t="s">
        <v>675</v>
      </c>
      <c r="C86" s="24">
        <v>2023.0</v>
      </c>
      <c r="D86" s="25" t="s">
        <v>3156</v>
      </c>
      <c r="E86" s="25" t="s">
        <v>3157</v>
      </c>
      <c r="F86" s="41">
        <v>4.1</v>
      </c>
      <c r="G86" s="41">
        <v>4.0</v>
      </c>
      <c r="H86" s="41">
        <v>4.0</v>
      </c>
      <c r="I86" s="25" t="s">
        <v>523</v>
      </c>
      <c r="J86" s="25" t="s">
        <v>187</v>
      </c>
      <c r="K86" s="41">
        <v>8.5</v>
      </c>
      <c r="L86" s="41">
        <v>15.2</v>
      </c>
      <c r="M86" s="30">
        <v>45341.0</v>
      </c>
    </row>
    <row r="87" ht="15.75" customHeight="1">
      <c r="A87" s="27" t="s">
        <v>3244</v>
      </c>
      <c r="B87" s="27" t="s">
        <v>675</v>
      </c>
      <c r="C87" s="26">
        <v>2024.0</v>
      </c>
      <c r="D87" s="27" t="s">
        <v>3156</v>
      </c>
      <c r="E87" s="27" t="s">
        <v>3159</v>
      </c>
      <c r="F87" s="42">
        <v>3.4</v>
      </c>
      <c r="G87" s="42">
        <v>4.4</v>
      </c>
      <c r="H87" s="42">
        <v>3.9</v>
      </c>
      <c r="I87" s="27" t="s">
        <v>523</v>
      </c>
      <c r="J87" s="27" t="s">
        <v>187</v>
      </c>
      <c r="K87" s="42">
        <v>6.8</v>
      </c>
      <c r="L87" s="42">
        <v>9.1</v>
      </c>
      <c r="M87" s="33">
        <v>45666.0</v>
      </c>
    </row>
    <row r="88" ht="15.75" customHeight="1">
      <c r="A88" s="25" t="s">
        <v>3245</v>
      </c>
      <c r="B88" s="25" t="s">
        <v>682</v>
      </c>
      <c r="C88" s="24">
        <v>2022.0</v>
      </c>
      <c r="D88" s="25" t="s">
        <v>3156</v>
      </c>
      <c r="E88" s="25" t="s">
        <v>3157</v>
      </c>
      <c r="F88" s="41">
        <v>3.9</v>
      </c>
      <c r="G88" s="41">
        <v>2.8</v>
      </c>
      <c r="H88" s="41">
        <v>3.3</v>
      </c>
      <c r="I88" s="25" t="s">
        <v>552</v>
      </c>
      <c r="J88" s="25" t="s">
        <v>181</v>
      </c>
      <c r="K88" s="41">
        <v>11.7</v>
      </c>
      <c r="L88" s="41">
        <v>18.6</v>
      </c>
      <c r="M88" s="30">
        <v>45013.0</v>
      </c>
    </row>
    <row r="89" ht="15.75" customHeight="1">
      <c r="A89" s="27" t="s">
        <v>3246</v>
      </c>
      <c r="B89" s="27" t="s">
        <v>682</v>
      </c>
      <c r="C89" s="26">
        <v>2023.0</v>
      </c>
      <c r="D89" s="27" t="s">
        <v>3156</v>
      </c>
      <c r="E89" s="27" t="s">
        <v>3159</v>
      </c>
      <c r="F89" s="42">
        <v>4.8</v>
      </c>
      <c r="G89" s="42">
        <v>3.0</v>
      </c>
      <c r="H89" s="42">
        <v>3.9</v>
      </c>
      <c r="I89" s="27" t="s">
        <v>552</v>
      </c>
      <c r="J89" s="27" t="s">
        <v>187</v>
      </c>
      <c r="K89" s="42">
        <v>5.2</v>
      </c>
      <c r="L89" s="42">
        <v>9.3</v>
      </c>
      <c r="M89" s="33">
        <v>45350.0</v>
      </c>
    </row>
    <row r="90" ht="15.75" customHeight="1">
      <c r="A90" s="25" t="s">
        <v>3247</v>
      </c>
      <c r="B90" s="25" t="s">
        <v>682</v>
      </c>
      <c r="C90" s="24">
        <v>2024.0</v>
      </c>
      <c r="D90" s="25" t="s">
        <v>3156</v>
      </c>
      <c r="E90" s="25" t="s">
        <v>3157</v>
      </c>
      <c r="F90" s="41">
        <v>2.7</v>
      </c>
      <c r="G90" s="41">
        <v>4.9</v>
      </c>
      <c r="H90" s="41">
        <v>3.8</v>
      </c>
      <c r="I90" s="25" t="s">
        <v>552</v>
      </c>
      <c r="J90" s="25" t="s">
        <v>187</v>
      </c>
      <c r="K90" s="41">
        <v>9.0</v>
      </c>
      <c r="L90" s="41">
        <v>17.1</v>
      </c>
      <c r="M90" s="30">
        <v>45701.0</v>
      </c>
    </row>
    <row r="91" ht="15.75" customHeight="1">
      <c r="A91" s="27" t="s">
        <v>3248</v>
      </c>
      <c r="B91" s="27" t="s">
        <v>689</v>
      </c>
      <c r="C91" s="26">
        <v>2022.0</v>
      </c>
      <c r="D91" s="27" t="s">
        <v>3156</v>
      </c>
      <c r="E91" s="27" t="s">
        <v>3159</v>
      </c>
      <c r="F91" s="42">
        <v>4.3</v>
      </c>
      <c r="G91" s="42">
        <v>3.4</v>
      </c>
      <c r="H91" s="42">
        <v>3.8</v>
      </c>
      <c r="I91" s="27" t="s">
        <v>635</v>
      </c>
      <c r="J91" s="27" t="s">
        <v>187</v>
      </c>
      <c r="K91" s="42">
        <v>5.6</v>
      </c>
      <c r="L91" s="42">
        <v>6.5</v>
      </c>
      <c r="M91" s="33">
        <v>45012.0</v>
      </c>
    </row>
    <row r="92" ht="15.75" customHeight="1">
      <c r="A92" s="25" t="s">
        <v>3249</v>
      </c>
      <c r="B92" s="25" t="s">
        <v>689</v>
      </c>
      <c r="C92" s="24">
        <v>2023.0</v>
      </c>
      <c r="D92" s="25" t="s">
        <v>3156</v>
      </c>
      <c r="E92" s="25" t="s">
        <v>3159</v>
      </c>
      <c r="F92" s="41">
        <v>2.9</v>
      </c>
      <c r="G92" s="41">
        <v>3.6</v>
      </c>
      <c r="H92" s="41">
        <v>3.2</v>
      </c>
      <c r="I92" s="25" t="s">
        <v>635</v>
      </c>
      <c r="J92" s="25" t="s">
        <v>187</v>
      </c>
      <c r="K92" s="41">
        <v>7.5</v>
      </c>
      <c r="L92" s="41">
        <v>11.3</v>
      </c>
      <c r="M92" s="30">
        <v>45292.0</v>
      </c>
    </row>
    <row r="93" ht="15.75" customHeight="1">
      <c r="A93" s="27" t="s">
        <v>3250</v>
      </c>
      <c r="B93" s="27" t="s">
        <v>689</v>
      </c>
      <c r="C93" s="26">
        <v>2024.0</v>
      </c>
      <c r="D93" s="27" t="s">
        <v>3156</v>
      </c>
      <c r="E93" s="27" t="s">
        <v>2520</v>
      </c>
      <c r="F93" s="42">
        <v>4.6</v>
      </c>
      <c r="G93" s="42">
        <v>4.4</v>
      </c>
      <c r="H93" s="42">
        <v>4.5</v>
      </c>
      <c r="I93" s="27" t="s">
        <v>635</v>
      </c>
      <c r="J93" s="27" t="s">
        <v>187</v>
      </c>
      <c r="K93" s="42">
        <v>2.5</v>
      </c>
      <c r="L93" s="42">
        <v>1.0</v>
      </c>
      <c r="M93" s="33">
        <v>45694.0</v>
      </c>
    </row>
    <row r="94" ht="15.75" customHeight="1">
      <c r="A94" s="25" t="s">
        <v>3251</v>
      </c>
      <c r="B94" s="25" t="s">
        <v>698</v>
      </c>
      <c r="C94" s="24">
        <v>2023.0</v>
      </c>
      <c r="D94" s="25" t="s">
        <v>3156</v>
      </c>
      <c r="E94" s="25" t="s">
        <v>2520</v>
      </c>
      <c r="F94" s="41">
        <v>5.0</v>
      </c>
      <c r="G94" s="41">
        <v>3.0</v>
      </c>
      <c r="H94" s="41">
        <v>4.0</v>
      </c>
      <c r="I94" s="25" t="s">
        <v>613</v>
      </c>
      <c r="J94" s="25" t="s">
        <v>187</v>
      </c>
      <c r="K94" s="41">
        <v>2.3</v>
      </c>
      <c r="L94" s="41">
        <v>4.6</v>
      </c>
      <c r="M94" s="30">
        <v>45352.0</v>
      </c>
    </row>
    <row r="95" ht="15.75" customHeight="1">
      <c r="A95" s="27" t="s">
        <v>3252</v>
      </c>
      <c r="B95" s="27" t="s">
        <v>698</v>
      </c>
      <c r="C95" s="26">
        <v>2024.0</v>
      </c>
      <c r="D95" s="27" t="s">
        <v>3156</v>
      </c>
      <c r="E95" s="27" t="s">
        <v>3159</v>
      </c>
      <c r="F95" s="42">
        <v>2.6</v>
      </c>
      <c r="G95" s="42">
        <v>3.2</v>
      </c>
      <c r="H95" s="42">
        <v>2.9</v>
      </c>
      <c r="I95" s="27" t="s">
        <v>613</v>
      </c>
      <c r="J95" s="27" t="s">
        <v>187</v>
      </c>
      <c r="K95" s="42">
        <v>4.2</v>
      </c>
      <c r="L95" s="42">
        <v>9.4</v>
      </c>
      <c r="M95" s="33">
        <v>45685.0</v>
      </c>
    </row>
    <row r="96" ht="15.75" customHeight="1">
      <c r="A96" s="25" t="s">
        <v>3253</v>
      </c>
      <c r="B96" s="25" t="s">
        <v>705</v>
      </c>
      <c r="C96" s="24">
        <v>2022.0</v>
      </c>
      <c r="D96" s="25" t="s">
        <v>3156</v>
      </c>
      <c r="E96" s="25" t="s">
        <v>3159</v>
      </c>
      <c r="F96" s="41">
        <v>3.7</v>
      </c>
      <c r="G96" s="41">
        <v>4.0</v>
      </c>
      <c r="H96" s="41">
        <v>3.9</v>
      </c>
      <c r="I96" s="25" t="s">
        <v>605</v>
      </c>
      <c r="J96" s="25" t="s">
        <v>187</v>
      </c>
      <c r="K96" s="41">
        <v>4.9</v>
      </c>
      <c r="L96" s="41">
        <v>8.8</v>
      </c>
      <c r="M96" s="30">
        <v>44958.0</v>
      </c>
    </row>
    <row r="97" ht="15.75" customHeight="1">
      <c r="A97" s="27" t="s">
        <v>3254</v>
      </c>
      <c r="B97" s="27" t="s">
        <v>705</v>
      </c>
      <c r="C97" s="26">
        <v>2023.0</v>
      </c>
      <c r="D97" s="27" t="s">
        <v>3156</v>
      </c>
      <c r="E97" s="27" t="s">
        <v>3159</v>
      </c>
      <c r="F97" s="42">
        <v>4.3</v>
      </c>
      <c r="G97" s="42">
        <v>4.3</v>
      </c>
      <c r="H97" s="42">
        <v>4.3</v>
      </c>
      <c r="I97" s="27" t="s">
        <v>605</v>
      </c>
      <c r="J97" s="27" t="s">
        <v>187</v>
      </c>
      <c r="K97" s="42">
        <v>8.3</v>
      </c>
      <c r="L97" s="42">
        <v>5.8</v>
      </c>
      <c r="M97" s="33">
        <v>45353.0</v>
      </c>
    </row>
    <row r="98" ht="15.75" customHeight="1">
      <c r="A98" s="25" t="s">
        <v>3255</v>
      </c>
      <c r="B98" s="25" t="s">
        <v>705</v>
      </c>
      <c r="C98" s="24">
        <v>2024.0</v>
      </c>
      <c r="D98" s="25" t="s">
        <v>3156</v>
      </c>
      <c r="E98" s="25" t="s">
        <v>3159</v>
      </c>
      <c r="F98" s="41">
        <v>4.6</v>
      </c>
      <c r="G98" s="41">
        <v>3.2</v>
      </c>
      <c r="H98" s="41">
        <v>3.9</v>
      </c>
      <c r="I98" s="25" t="s">
        <v>605</v>
      </c>
      <c r="J98" s="25" t="s">
        <v>187</v>
      </c>
      <c r="K98" s="41">
        <v>7.3</v>
      </c>
      <c r="L98" s="41">
        <v>9.7</v>
      </c>
      <c r="M98" s="30">
        <v>45722.0</v>
      </c>
    </row>
    <row r="99" ht="15.75" customHeight="1">
      <c r="A99" s="27" t="s">
        <v>3256</v>
      </c>
      <c r="B99" s="27" t="s">
        <v>712</v>
      </c>
      <c r="C99" s="26">
        <v>2022.0</v>
      </c>
      <c r="D99" s="27" t="s">
        <v>3156</v>
      </c>
      <c r="E99" s="27" t="s">
        <v>2520</v>
      </c>
      <c r="F99" s="42">
        <v>4.0</v>
      </c>
      <c r="G99" s="42">
        <v>4.9</v>
      </c>
      <c r="H99" s="42">
        <v>4.5</v>
      </c>
      <c r="I99" s="27" t="s">
        <v>682</v>
      </c>
      <c r="J99" s="27" t="s">
        <v>187</v>
      </c>
      <c r="K99" s="42">
        <v>1.6</v>
      </c>
      <c r="L99" s="42">
        <v>0.3</v>
      </c>
      <c r="M99" s="33">
        <v>44990.0</v>
      </c>
    </row>
    <row r="100" ht="15.75" customHeight="1">
      <c r="A100" s="25" t="s">
        <v>3257</v>
      </c>
      <c r="B100" s="25" t="s">
        <v>712</v>
      </c>
      <c r="C100" s="24">
        <v>2023.0</v>
      </c>
      <c r="D100" s="25" t="s">
        <v>3156</v>
      </c>
      <c r="E100" s="25" t="s">
        <v>3159</v>
      </c>
      <c r="F100" s="41">
        <v>2.7</v>
      </c>
      <c r="G100" s="41">
        <v>3.6</v>
      </c>
      <c r="H100" s="41">
        <v>3.2</v>
      </c>
      <c r="I100" s="25" t="s">
        <v>682</v>
      </c>
      <c r="J100" s="25" t="s">
        <v>187</v>
      </c>
      <c r="K100" s="41">
        <v>5.0</v>
      </c>
      <c r="L100" s="41">
        <v>10.2</v>
      </c>
      <c r="M100" s="30">
        <v>45301.0</v>
      </c>
    </row>
    <row r="101" ht="15.75" customHeight="1">
      <c r="A101" s="27" t="s">
        <v>3258</v>
      </c>
      <c r="B101" s="27" t="s">
        <v>712</v>
      </c>
      <c r="C101" s="26">
        <v>2024.0</v>
      </c>
      <c r="D101" s="27" t="s">
        <v>3156</v>
      </c>
      <c r="E101" s="27" t="s">
        <v>3159</v>
      </c>
      <c r="F101" s="42">
        <v>3.4</v>
      </c>
      <c r="G101" s="42">
        <v>3.4</v>
      </c>
      <c r="H101" s="42">
        <v>3.4</v>
      </c>
      <c r="I101" s="27" t="s">
        <v>682</v>
      </c>
      <c r="J101" s="27" t="s">
        <v>187</v>
      </c>
      <c r="K101" s="42">
        <v>7.5</v>
      </c>
      <c r="L101" s="42">
        <v>5.8</v>
      </c>
      <c r="M101" s="33">
        <v>45719.0</v>
      </c>
    </row>
    <row r="102" ht="15.75" customHeight="1">
      <c r="A102" s="25" t="s">
        <v>3259</v>
      </c>
      <c r="B102" s="25" t="s">
        <v>721</v>
      </c>
      <c r="C102" s="24">
        <v>2022.0</v>
      </c>
      <c r="D102" s="25" t="s">
        <v>3156</v>
      </c>
      <c r="E102" s="25" t="s">
        <v>3157</v>
      </c>
      <c r="F102" s="41">
        <v>4.0</v>
      </c>
      <c r="G102" s="41">
        <v>4.9</v>
      </c>
      <c r="H102" s="41">
        <v>4.5</v>
      </c>
      <c r="I102" s="25" t="s">
        <v>620</v>
      </c>
      <c r="J102" s="25" t="s">
        <v>187</v>
      </c>
      <c r="K102" s="41">
        <v>13.4</v>
      </c>
      <c r="L102" s="41">
        <v>15.6</v>
      </c>
      <c r="M102" s="30">
        <v>45006.0</v>
      </c>
    </row>
    <row r="103" ht="15.75" customHeight="1">
      <c r="A103" s="27" t="s">
        <v>3260</v>
      </c>
      <c r="B103" s="27" t="s">
        <v>721</v>
      </c>
      <c r="C103" s="26">
        <v>2023.0</v>
      </c>
      <c r="D103" s="27" t="s">
        <v>3156</v>
      </c>
      <c r="E103" s="27" t="s">
        <v>2520</v>
      </c>
      <c r="F103" s="42">
        <v>4.7</v>
      </c>
      <c r="G103" s="42">
        <v>4.4</v>
      </c>
      <c r="H103" s="42">
        <v>4.6</v>
      </c>
      <c r="I103" s="27" t="s">
        <v>620</v>
      </c>
      <c r="J103" s="27" t="s">
        <v>187</v>
      </c>
      <c r="K103" s="42">
        <v>1.5</v>
      </c>
      <c r="L103" s="42">
        <v>2.8</v>
      </c>
      <c r="M103" s="33">
        <v>45330.0</v>
      </c>
    </row>
    <row r="104" ht="15.75" customHeight="1">
      <c r="A104" s="25" t="s">
        <v>3261</v>
      </c>
      <c r="B104" s="25" t="s">
        <v>721</v>
      </c>
      <c r="C104" s="24">
        <v>2024.0</v>
      </c>
      <c r="D104" s="25" t="s">
        <v>3156</v>
      </c>
      <c r="E104" s="25" t="s">
        <v>2520</v>
      </c>
      <c r="F104" s="41">
        <v>3.2</v>
      </c>
      <c r="G104" s="41">
        <v>3.0</v>
      </c>
      <c r="H104" s="41">
        <v>3.1</v>
      </c>
      <c r="I104" s="25" t="s">
        <v>620</v>
      </c>
      <c r="J104" s="25" t="s">
        <v>187</v>
      </c>
      <c r="K104" s="41">
        <v>1.8</v>
      </c>
      <c r="L104" s="41">
        <v>1.8</v>
      </c>
      <c r="M104" s="30">
        <v>45733.0</v>
      </c>
    </row>
    <row r="105" ht="15.75" customHeight="1">
      <c r="A105" s="27" t="s">
        <v>3262</v>
      </c>
      <c r="B105" s="27" t="s">
        <v>729</v>
      </c>
      <c r="C105" s="26">
        <v>2023.0</v>
      </c>
      <c r="D105" s="27" t="s">
        <v>3156</v>
      </c>
      <c r="E105" s="27" t="s">
        <v>3159</v>
      </c>
      <c r="F105" s="42">
        <v>4.1</v>
      </c>
      <c r="G105" s="42">
        <v>4.6</v>
      </c>
      <c r="H105" s="42">
        <v>4.3</v>
      </c>
      <c r="I105" s="27" t="s">
        <v>635</v>
      </c>
      <c r="J105" s="27" t="s">
        <v>187</v>
      </c>
      <c r="K105" s="42">
        <v>8.2</v>
      </c>
      <c r="L105" s="42">
        <v>6.5</v>
      </c>
      <c r="M105" s="33">
        <v>45343.0</v>
      </c>
    </row>
    <row r="106" ht="15.75" customHeight="1">
      <c r="A106" s="25" t="s">
        <v>3263</v>
      </c>
      <c r="B106" s="25" t="s">
        <v>729</v>
      </c>
      <c r="C106" s="24">
        <v>2024.0</v>
      </c>
      <c r="D106" s="25" t="s">
        <v>3156</v>
      </c>
      <c r="E106" s="25" t="s">
        <v>2520</v>
      </c>
      <c r="F106" s="41">
        <v>4.5</v>
      </c>
      <c r="G106" s="41">
        <v>3.0</v>
      </c>
      <c r="H106" s="41">
        <v>3.8</v>
      </c>
      <c r="I106" s="25" t="s">
        <v>635</v>
      </c>
      <c r="J106" s="25" t="s">
        <v>187</v>
      </c>
      <c r="K106" s="41">
        <v>3.3</v>
      </c>
      <c r="L106" s="41">
        <v>3.9</v>
      </c>
      <c r="M106" s="30">
        <v>45695.0</v>
      </c>
    </row>
    <row r="107" ht="15.75" customHeight="1">
      <c r="A107" s="27" t="s">
        <v>3264</v>
      </c>
      <c r="B107" s="27" t="s">
        <v>737</v>
      </c>
      <c r="C107" s="26">
        <v>2022.0</v>
      </c>
      <c r="D107" s="27" t="s">
        <v>3156</v>
      </c>
      <c r="E107" s="27" t="s">
        <v>3159</v>
      </c>
      <c r="F107" s="42">
        <v>2.6</v>
      </c>
      <c r="G107" s="42">
        <v>2.8</v>
      </c>
      <c r="H107" s="42">
        <v>2.7</v>
      </c>
      <c r="I107" s="27" t="s">
        <v>643</v>
      </c>
      <c r="J107" s="27" t="s">
        <v>187</v>
      </c>
      <c r="K107" s="42">
        <v>4.9</v>
      </c>
      <c r="L107" s="42">
        <v>7.6</v>
      </c>
      <c r="M107" s="33">
        <v>44987.0</v>
      </c>
    </row>
    <row r="108" ht="15.75" customHeight="1">
      <c r="A108" s="25" t="s">
        <v>3265</v>
      </c>
      <c r="B108" s="25" t="s">
        <v>737</v>
      </c>
      <c r="C108" s="24">
        <v>2023.0</v>
      </c>
      <c r="D108" s="25" t="s">
        <v>3156</v>
      </c>
      <c r="E108" s="25" t="s">
        <v>3159</v>
      </c>
      <c r="F108" s="41">
        <v>2.8</v>
      </c>
      <c r="G108" s="41">
        <v>3.4</v>
      </c>
      <c r="H108" s="41">
        <v>3.1</v>
      </c>
      <c r="I108" s="25" t="s">
        <v>643</v>
      </c>
      <c r="J108" s="25" t="s">
        <v>187</v>
      </c>
      <c r="K108" s="41">
        <v>4.8</v>
      </c>
      <c r="L108" s="41">
        <v>11.3</v>
      </c>
      <c r="M108" s="30">
        <v>45332.0</v>
      </c>
    </row>
    <row r="109" ht="15.75" customHeight="1">
      <c r="A109" s="27" t="s">
        <v>3266</v>
      </c>
      <c r="B109" s="27" t="s">
        <v>737</v>
      </c>
      <c r="C109" s="26">
        <v>2024.0</v>
      </c>
      <c r="D109" s="27" t="s">
        <v>3156</v>
      </c>
      <c r="E109" s="27" t="s">
        <v>3157</v>
      </c>
      <c r="F109" s="42">
        <v>3.9</v>
      </c>
      <c r="G109" s="42">
        <v>4.4</v>
      </c>
      <c r="H109" s="42">
        <v>4.2</v>
      </c>
      <c r="I109" s="27" t="s">
        <v>643</v>
      </c>
      <c r="J109" s="27" t="s">
        <v>187</v>
      </c>
      <c r="K109" s="42">
        <v>11.1</v>
      </c>
      <c r="L109" s="42">
        <v>20.4</v>
      </c>
      <c r="M109" s="33">
        <v>45728.0</v>
      </c>
    </row>
    <row r="110" ht="15.75" customHeight="1">
      <c r="A110" s="25" t="s">
        <v>3267</v>
      </c>
      <c r="B110" s="25" t="s">
        <v>744</v>
      </c>
      <c r="C110" s="24">
        <v>2022.0</v>
      </c>
      <c r="D110" s="25" t="s">
        <v>3156</v>
      </c>
      <c r="E110" s="25" t="s">
        <v>3159</v>
      </c>
      <c r="F110" s="41">
        <v>3.7</v>
      </c>
      <c r="G110" s="41">
        <v>3.5</v>
      </c>
      <c r="H110" s="41">
        <v>3.6</v>
      </c>
      <c r="I110" s="25" t="s">
        <v>658</v>
      </c>
      <c r="J110" s="25" t="s">
        <v>187</v>
      </c>
      <c r="K110" s="41">
        <v>8.6</v>
      </c>
      <c r="L110" s="41">
        <v>11.5</v>
      </c>
      <c r="M110" s="30">
        <v>44982.0</v>
      </c>
    </row>
    <row r="111" ht="15.75" customHeight="1">
      <c r="A111" s="27" t="s">
        <v>3268</v>
      </c>
      <c r="B111" s="27" t="s">
        <v>744</v>
      </c>
      <c r="C111" s="26">
        <v>2023.0</v>
      </c>
      <c r="D111" s="27" t="s">
        <v>3156</v>
      </c>
      <c r="E111" s="27" t="s">
        <v>3159</v>
      </c>
      <c r="F111" s="42">
        <v>3.9</v>
      </c>
      <c r="G111" s="42">
        <v>4.0</v>
      </c>
      <c r="H111" s="42">
        <v>4.0</v>
      </c>
      <c r="I111" s="27" t="s">
        <v>658</v>
      </c>
      <c r="J111" s="27" t="s">
        <v>187</v>
      </c>
      <c r="K111" s="42">
        <v>4.8</v>
      </c>
      <c r="L111" s="42">
        <v>9.9</v>
      </c>
      <c r="M111" s="33">
        <v>45376.0</v>
      </c>
    </row>
    <row r="112" ht="15.75" customHeight="1">
      <c r="A112" s="25" t="s">
        <v>3269</v>
      </c>
      <c r="B112" s="25" t="s">
        <v>744</v>
      </c>
      <c r="C112" s="24">
        <v>2024.0</v>
      </c>
      <c r="D112" s="25" t="s">
        <v>3156</v>
      </c>
      <c r="E112" s="25" t="s">
        <v>3157</v>
      </c>
      <c r="F112" s="41">
        <v>4.2</v>
      </c>
      <c r="G112" s="41">
        <v>4.5</v>
      </c>
      <c r="H112" s="41">
        <v>4.3</v>
      </c>
      <c r="I112" s="25" t="s">
        <v>658</v>
      </c>
      <c r="J112" s="25" t="s">
        <v>181</v>
      </c>
      <c r="K112" s="41">
        <v>8.4</v>
      </c>
      <c r="L112" s="41">
        <v>12.1</v>
      </c>
      <c r="M112" s="30">
        <v>45721.0</v>
      </c>
    </row>
    <row r="113" ht="15.75" customHeight="1">
      <c r="A113" s="27" t="s">
        <v>3270</v>
      </c>
      <c r="B113" s="27" t="s">
        <v>750</v>
      </c>
      <c r="C113" s="26">
        <v>2022.0</v>
      </c>
      <c r="D113" s="27" t="s">
        <v>3156</v>
      </c>
      <c r="E113" s="27" t="s">
        <v>3159</v>
      </c>
      <c r="F113" s="42">
        <v>2.9</v>
      </c>
      <c r="G113" s="42">
        <v>3.3</v>
      </c>
      <c r="H113" s="42">
        <v>3.1</v>
      </c>
      <c r="I113" s="27" t="s">
        <v>597</v>
      </c>
      <c r="J113" s="27" t="s">
        <v>187</v>
      </c>
      <c r="K113" s="42">
        <v>8.3</v>
      </c>
      <c r="L113" s="42">
        <v>6.1</v>
      </c>
      <c r="M113" s="33">
        <v>44958.0</v>
      </c>
    </row>
    <row r="114" ht="15.75" customHeight="1">
      <c r="A114" s="25" t="s">
        <v>3271</v>
      </c>
      <c r="B114" s="25" t="s">
        <v>750</v>
      </c>
      <c r="C114" s="24">
        <v>2023.0</v>
      </c>
      <c r="D114" s="25" t="s">
        <v>3156</v>
      </c>
      <c r="E114" s="25" t="s">
        <v>3159</v>
      </c>
      <c r="F114" s="41">
        <v>3.4</v>
      </c>
      <c r="G114" s="41">
        <v>3.7</v>
      </c>
      <c r="H114" s="41">
        <v>3.5</v>
      </c>
      <c r="I114" s="25" t="s">
        <v>597</v>
      </c>
      <c r="J114" s="25" t="s">
        <v>187</v>
      </c>
      <c r="K114" s="41">
        <v>7.5</v>
      </c>
      <c r="L114" s="41">
        <v>10.8</v>
      </c>
      <c r="M114" s="30">
        <v>45304.0</v>
      </c>
    </row>
    <row r="115" ht="15.75" customHeight="1">
      <c r="A115" s="27" t="s">
        <v>3272</v>
      </c>
      <c r="B115" s="27" t="s">
        <v>750</v>
      </c>
      <c r="C115" s="26">
        <v>2024.0</v>
      </c>
      <c r="D115" s="27" t="s">
        <v>3156</v>
      </c>
      <c r="E115" s="27" t="s">
        <v>3157</v>
      </c>
      <c r="F115" s="42">
        <v>4.4</v>
      </c>
      <c r="G115" s="42">
        <v>2.8</v>
      </c>
      <c r="H115" s="42">
        <v>3.6</v>
      </c>
      <c r="I115" s="27" t="s">
        <v>597</v>
      </c>
      <c r="J115" s="27" t="s">
        <v>187</v>
      </c>
      <c r="K115" s="42">
        <v>13.4</v>
      </c>
      <c r="L115" s="42">
        <v>21.0</v>
      </c>
      <c r="M115" s="33">
        <v>45710.0</v>
      </c>
    </row>
    <row r="116" ht="15.75" customHeight="1">
      <c r="A116" s="25" t="s">
        <v>3273</v>
      </c>
      <c r="B116" s="25" t="s">
        <v>757</v>
      </c>
      <c r="C116" s="24">
        <v>2022.0</v>
      </c>
      <c r="D116" s="25" t="s">
        <v>3156</v>
      </c>
      <c r="E116" s="25" t="s">
        <v>3159</v>
      </c>
      <c r="F116" s="41">
        <v>4.0</v>
      </c>
      <c r="G116" s="41">
        <v>3.1</v>
      </c>
      <c r="H116" s="41">
        <v>3.5</v>
      </c>
      <c r="I116" s="25" t="s">
        <v>675</v>
      </c>
      <c r="J116" s="25" t="s">
        <v>187</v>
      </c>
      <c r="K116" s="41">
        <v>7.8</v>
      </c>
      <c r="L116" s="41">
        <v>10.8</v>
      </c>
      <c r="M116" s="30">
        <v>44960.0</v>
      </c>
    </row>
    <row r="117" ht="15.75" customHeight="1">
      <c r="A117" s="27" t="s">
        <v>3274</v>
      </c>
      <c r="B117" s="27" t="s">
        <v>757</v>
      </c>
      <c r="C117" s="26">
        <v>2023.0</v>
      </c>
      <c r="D117" s="27" t="s">
        <v>3156</v>
      </c>
      <c r="E117" s="27" t="s">
        <v>3159</v>
      </c>
      <c r="F117" s="42">
        <v>2.8</v>
      </c>
      <c r="G117" s="42">
        <v>3.0</v>
      </c>
      <c r="H117" s="42">
        <v>2.9</v>
      </c>
      <c r="I117" s="27" t="s">
        <v>675</v>
      </c>
      <c r="J117" s="27" t="s">
        <v>187</v>
      </c>
      <c r="K117" s="42">
        <v>6.2</v>
      </c>
      <c r="L117" s="42">
        <v>8.0</v>
      </c>
      <c r="M117" s="33">
        <v>45344.0</v>
      </c>
    </row>
    <row r="118" ht="15.75" customHeight="1">
      <c r="A118" s="25" t="s">
        <v>3275</v>
      </c>
      <c r="B118" s="25" t="s">
        <v>757</v>
      </c>
      <c r="C118" s="24">
        <v>2024.0</v>
      </c>
      <c r="D118" s="25" t="s">
        <v>3156</v>
      </c>
      <c r="E118" s="25" t="s">
        <v>2520</v>
      </c>
      <c r="F118" s="41">
        <v>2.6</v>
      </c>
      <c r="G118" s="41">
        <v>4.9</v>
      </c>
      <c r="H118" s="41">
        <v>3.8</v>
      </c>
      <c r="I118" s="25" t="s">
        <v>675</v>
      </c>
      <c r="J118" s="25" t="s">
        <v>187</v>
      </c>
      <c r="K118" s="41">
        <v>2.7</v>
      </c>
      <c r="L118" s="41">
        <v>0.4</v>
      </c>
      <c r="M118" s="30">
        <v>45740.0</v>
      </c>
    </row>
    <row r="119" ht="15.75" customHeight="1">
      <c r="A119" s="27" t="s">
        <v>3276</v>
      </c>
      <c r="B119" s="27" t="s">
        <v>764</v>
      </c>
      <c r="C119" s="26">
        <v>2023.0</v>
      </c>
      <c r="D119" s="27" t="s">
        <v>3156</v>
      </c>
      <c r="E119" s="27" t="s">
        <v>3157</v>
      </c>
      <c r="F119" s="42">
        <v>4.7</v>
      </c>
      <c r="G119" s="42">
        <v>4.5</v>
      </c>
      <c r="H119" s="42">
        <v>4.6</v>
      </c>
      <c r="I119" s="27" t="s">
        <v>628</v>
      </c>
      <c r="J119" s="27" t="s">
        <v>181</v>
      </c>
      <c r="K119" s="42">
        <v>8.1</v>
      </c>
      <c r="L119" s="42">
        <v>15.8</v>
      </c>
      <c r="M119" s="33">
        <v>45336.0</v>
      </c>
    </row>
    <row r="120" ht="15.75" customHeight="1">
      <c r="A120" s="25" t="s">
        <v>3277</v>
      </c>
      <c r="B120" s="25" t="s">
        <v>764</v>
      </c>
      <c r="C120" s="24">
        <v>2024.0</v>
      </c>
      <c r="D120" s="25" t="s">
        <v>3156</v>
      </c>
      <c r="E120" s="25" t="s">
        <v>3159</v>
      </c>
      <c r="F120" s="41">
        <v>3.3</v>
      </c>
      <c r="G120" s="41">
        <v>3.1</v>
      </c>
      <c r="H120" s="41">
        <v>3.2</v>
      </c>
      <c r="I120" s="25" t="s">
        <v>628</v>
      </c>
      <c r="J120" s="25" t="s">
        <v>187</v>
      </c>
      <c r="K120" s="41">
        <v>7.0</v>
      </c>
      <c r="L120" s="41">
        <v>7.6</v>
      </c>
      <c r="M120" s="30">
        <v>45716.0</v>
      </c>
    </row>
    <row r="121" ht="15.75" customHeight="1">
      <c r="A121" s="27" t="s">
        <v>3278</v>
      </c>
      <c r="B121" s="27" t="s">
        <v>771</v>
      </c>
      <c r="C121" s="26">
        <v>2022.0</v>
      </c>
      <c r="D121" s="27" t="s">
        <v>3156</v>
      </c>
      <c r="E121" s="27" t="s">
        <v>3159</v>
      </c>
      <c r="F121" s="42">
        <v>3.4</v>
      </c>
      <c r="G121" s="42">
        <v>4.5</v>
      </c>
      <c r="H121" s="42">
        <v>4.0</v>
      </c>
      <c r="I121" s="27" t="s">
        <v>628</v>
      </c>
      <c r="J121" s="27" t="s">
        <v>187</v>
      </c>
      <c r="K121" s="42">
        <v>6.7</v>
      </c>
      <c r="L121" s="42">
        <v>6.1</v>
      </c>
      <c r="M121" s="33">
        <v>45004.0</v>
      </c>
    </row>
    <row r="122" ht="15.75" customHeight="1">
      <c r="A122" s="25" t="s">
        <v>3279</v>
      </c>
      <c r="B122" s="25" t="s">
        <v>771</v>
      </c>
      <c r="C122" s="24">
        <v>2023.0</v>
      </c>
      <c r="D122" s="25" t="s">
        <v>3156</v>
      </c>
      <c r="E122" s="25" t="s">
        <v>3159</v>
      </c>
      <c r="F122" s="41">
        <v>3.8</v>
      </c>
      <c r="G122" s="41">
        <v>4.0</v>
      </c>
      <c r="H122" s="41">
        <v>3.9</v>
      </c>
      <c r="I122" s="25" t="s">
        <v>628</v>
      </c>
      <c r="J122" s="25" t="s">
        <v>187</v>
      </c>
      <c r="K122" s="41">
        <v>6.2</v>
      </c>
      <c r="L122" s="41">
        <v>11.1</v>
      </c>
      <c r="M122" s="30">
        <v>45311.0</v>
      </c>
    </row>
    <row r="123" ht="15.75" customHeight="1">
      <c r="A123" s="27" t="s">
        <v>3280</v>
      </c>
      <c r="B123" s="27" t="s">
        <v>771</v>
      </c>
      <c r="C123" s="26">
        <v>2024.0</v>
      </c>
      <c r="D123" s="27" t="s">
        <v>3156</v>
      </c>
      <c r="E123" s="27" t="s">
        <v>3159</v>
      </c>
      <c r="F123" s="42">
        <v>3.1</v>
      </c>
      <c r="G123" s="42">
        <v>3.3</v>
      </c>
      <c r="H123" s="42">
        <v>3.2</v>
      </c>
      <c r="I123" s="27" t="s">
        <v>628</v>
      </c>
      <c r="J123" s="27" t="s">
        <v>187</v>
      </c>
      <c r="K123" s="42">
        <v>8.1</v>
      </c>
      <c r="L123" s="42">
        <v>7.5</v>
      </c>
      <c r="M123" s="33">
        <v>45698.0</v>
      </c>
    </row>
    <row r="124" ht="15.75" customHeight="1">
      <c r="A124" s="25" t="s">
        <v>3281</v>
      </c>
      <c r="B124" s="25" t="s">
        <v>779</v>
      </c>
      <c r="C124" s="24">
        <v>2024.0</v>
      </c>
      <c r="D124" s="25" t="s">
        <v>3156</v>
      </c>
      <c r="E124" s="25" t="s">
        <v>3159</v>
      </c>
      <c r="F124" s="41">
        <v>4.0</v>
      </c>
      <c r="G124" s="41">
        <v>3.4</v>
      </c>
      <c r="H124" s="41">
        <v>3.7</v>
      </c>
      <c r="I124" s="25" t="s">
        <v>613</v>
      </c>
      <c r="J124" s="25" t="s">
        <v>187</v>
      </c>
      <c r="K124" s="41">
        <v>7.7</v>
      </c>
      <c r="L124" s="41">
        <v>5.7</v>
      </c>
      <c r="M124" s="30">
        <v>45732.0</v>
      </c>
    </row>
    <row r="125" ht="15.75" customHeight="1">
      <c r="A125" s="27" t="s">
        <v>3282</v>
      </c>
      <c r="B125" s="27" t="s">
        <v>786</v>
      </c>
      <c r="C125" s="26">
        <v>2022.0</v>
      </c>
      <c r="D125" s="27" t="s">
        <v>3156</v>
      </c>
      <c r="E125" s="27" t="s">
        <v>3159</v>
      </c>
      <c r="F125" s="42">
        <v>3.2</v>
      </c>
      <c r="G125" s="42">
        <v>4.9</v>
      </c>
      <c r="H125" s="42">
        <v>4.1</v>
      </c>
      <c r="I125" s="27" t="s">
        <v>597</v>
      </c>
      <c r="J125" s="27" t="s">
        <v>187</v>
      </c>
      <c r="K125" s="42">
        <v>5.2</v>
      </c>
      <c r="L125" s="42">
        <v>10.1</v>
      </c>
      <c r="M125" s="33">
        <v>44959.0</v>
      </c>
    </row>
    <row r="126" ht="15.75" customHeight="1">
      <c r="A126" s="25" t="s">
        <v>3283</v>
      </c>
      <c r="B126" s="25" t="s">
        <v>786</v>
      </c>
      <c r="C126" s="24">
        <v>2023.0</v>
      </c>
      <c r="D126" s="25" t="s">
        <v>3156</v>
      </c>
      <c r="E126" s="25" t="s">
        <v>3157</v>
      </c>
      <c r="F126" s="41">
        <v>3.4</v>
      </c>
      <c r="G126" s="41">
        <v>2.9</v>
      </c>
      <c r="H126" s="41">
        <v>3.1</v>
      </c>
      <c r="I126" s="25" t="s">
        <v>597</v>
      </c>
      <c r="J126" s="25" t="s">
        <v>181</v>
      </c>
      <c r="K126" s="41">
        <v>14.8</v>
      </c>
      <c r="L126" s="41">
        <v>15.7</v>
      </c>
      <c r="M126" s="30">
        <v>45361.0</v>
      </c>
    </row>
    <row r="127" ht="15.75" customHeight="1">
      <c r="A127" s="27" t="s">
        <v>3284</v>
      </c>
      <c r="B127" s="27" t="s">
        <v>786</v>
      </c>
      <c r="C127" s="26">
        <v>2024.0</v>
      </c>
      <c r="D127" s="27" t="s">
        <v>3156</v>
      </c>
      <c r="E127" s="27" t="s">
        <v>3159</v>
      </c>
      <c r="F127" s="42">
        <v>2.6</v>
      </c>
      <c r="G127" s="42">
        <v>4.9</v>
      </c>
      <c r="H127" s="42">
        <v>3.8</v>
      </c>
      <c r="I127" s="27" t="s">
        <v>597</v>
      </c>
      <c r="J127" s="27" t="s">
        <v>187</v>
      </c>
      <c r="K127" s="42">
        <v>7.3</v>
      </c>
      <c r="L127" s="42">
        <v>8.0</v>
      </c>
      <c r="M127" s="33">
        <v>45676.0</v>
      </c>
    </row>
    <row r="128" ht="15.75" customHeight="1">
      <c r="A128" s="25" t="s">
        <v>3285</v>
      </c>
      <c r="B128" s="25" t="s">
        <v>794</v>
      </c>
      <c r="C128" s="24">
        <v>2023.0</v>
      </c>
      <c r="D128" s="25" t="s">
        <v>3156</v>
      </c>
      <c r="E128" s="25" t="s">
        <v>3159</v>
      </c>
      <c r="F128" s="41">
        <v>3.3</v>
      </c>
      <c r="G128" s="41">
        <v>3.8</v>
      </c>
      <c r="H128" s="41">
        <v>3.5</v>
      </c>
      <c r="I128" s="25" t="s">
        <v>643</v>
      </c>
      <c r="J128" s="25" t="s">
        <v>187</v>
      </c>
      <c r="K128" s="41">
        <v>5.2</v>
      </c>
      <c r="L128" s="41">
        <v>8.3</v>
      </c>
      <c r="M128" s="30">
        <v>45331.0</v>
      </c>
    </row>
    <row r="129" ht="15.75" customHeight="1">
      <c r="A129" s="27" t="s">
        <v>3286</v>
      </c>
      <c r="B129" s="27" t="s">
        <v>794</v>
      </c>
      <c r="C129" s="26">
        <v>2024.0</v>
      </c>
      <c r="D129" s="27" t="s">
        <v>3156</v>
      </c>
      <c r="E129" s="27" t="s">
        <v>3159</v>
      </c>
      <c r="F129" s="42">
        <v>4.4</v>
      </c>
      <c r="G129" s="42">
        <v>3.2</v>
      </c>
      <c r="H129" s="42">
        <v>3.8</v>
      </c>
      <c r="I129" s="27" t="s">
        <v>643</v>
      </c>
      <c r="J129" s="27" t="s">
        <v>187</v>
      </c>
      <c r="K129" s="42">
        <v>7.0</v>
      </c>
      <c r="L129" s="42">
        <v>6.9</v>
      </c>
      <c r="M129" s="33">
        <v>45683.0</v>
      </c>
    </row>
    <row r="130" ht="15.75" customHeight="1">
      <c r="A130" s="25" t="s">
        <v>3287</v>
      </c>
      <c r="B130" s="25" t="s">
        <v>801</v>
      </c>
      <c r="C130" s="24">
        <v>2022.0</v>
      </c>
      <c r="D130" s="25" t="s">
        <v>3156</v>
      </c>
      <c r="E130" s="25" t="s">
        <v>3159</v>
      </c>
      <c r="F130" s="41">
        <v>2.8</v>
      </c>
      <c r="G130" s="41">
        <v>3.2</v>
      </c>
      <c r="H130" s="41">
        <v>3.0</v>
      </c>
      <c r="I130" s="25" t="s">
        <v>786</v>
      </c>
      <c r="J130" s="25" t="s">
        <v>187</v>
      </c>
      <c r="K130" s="41">
        <v>8.9</v>
      </c>
      <c r="L130" s="41">
        <v>5.1</v>
      </c>
      <c r="M130" s="30">
        <v>44946.0</v>
      </c>
    </row>
    <row r="131" ht="15.75" customHeight="1">
      <c r="A131" s="27" t="s">
        <v>3288</v>
      </c>
      <c r="B131" s="27" t="s">
        <v>801</v>
      </c>
      <c r="C131" s="26">
        <v>2023.0</v>
      </c>
      <c r="D131" s="27" t="s">
        <v>3156</v>
      </c>
      <c r="E131" s="27" t="s">
        <v>3159</v>
      </c>
      <c r="F131" s="42">
        <v>4.3</v>
      </c>
      <c r="G131" s="42">
        <v>4.6</v>
      </c>
      <c r="H131" s="42">
        <v>4.4</v>
      </c>
      <c r="I131" s="27" t="s">
        <v>786</v>
      </c>
      <c r="J131" s="27" t="s">
        <v>187</v>
      </c>
      <c r="K131" s="42">
        <v>7.2</v>
      </c>
      <c r="L131" s="42">
        <v>11.5</v>
      </c>
      <c r="M131" s="33">
        <v>45333.0</v>
      </c>
    </row>
    <row r="132" ht="15.75" customHeight="1">
      <c r="A132" s="25" t="s">
        <v>3289</v>
      </c>
      <c r="B132" s="25" t="s">
        <v>801</v>
      </c>
      <c r="C132" s="24">
        <v>2024.0</v>
      </c>
      <c r="D132" s="25" t="s">
        <v>3156</v>
      </c>
      <c r="E132" s="25" t="s">
        <v>3159</v>
      </c>
      <c r="F132" s="41">
        <v>3.6</v>
      </c>
      <c r="G132" s="41">
        <v>3.7</v>
      </c>
      <c r="H132" s="41">
        <v>3.7</v>
      </c>
      <c r="I132" s="25" t="s">
        <v>786</v>
      </c>
      <c r="J132" s="25" t="s">
        <v>187</v>
      </c>
      <c r="K132" s="41">
        <v>5.1</v>
      </c>
      <c r="L132" s="41">
        <v>6.8</v>
      </c>
      <c r="M132" s="30">
        <v>45719.0</v>
      </c>
    </row>
    <row r="133" ht="15.75" customHeight="1">
      <c r="A133" s="27" t="s">
        <v>3290</v>
      </c>
      <c r="B133" s="27" t="s">
        <v>808</v>
      </c>
      <c r="C133" s="26">
        <v>2022.0</v>
      </c>
      <c r="D133" s="27" t="s">
        <v>3156</v>
      </c>
      <c r="E133" s="27" t="s">
        <v>3159</v>
      </c>
      <c r="F133" s="42">
        <v>3.9</v>
      </c>
      <c r="G133" s="42">
        <v>3.4</v>
      </c>
      <c r="H133" s="42">
        <v>3.6</v>
      </c>
      <c r="I133" s="27" t="s">
        <v>744</v>
      </c>
      <c r="J133" s="27" t="s">
        <v>187</v>
      </c>
      <c r="K133" s="42">
        <v>8.9</v>
      </c>
      <c r="L133" s="42">
        <v>7.2</v>
      </c>
      <c r="M133" s="33">
        <v>44931.0</v>
      </c>
    </row>
    <row r="134" ht="15.75" customHeight="1">
      <c r="A134" s="25" t="s">
        <v>3291</v>
      </c>
      <c r="B134" s="25" t="s">
        <v>808</v>
      </c>
      <c r="C134" s="24">
        <v>2023.0</v>
      </c>
      <c r="D134" s="25" t="s">
        <v>3156</v>
      </c>
      <c r="E134" s="25" t="s">
        <v>3159</v>
      </c>
      <c r="F134" s="41">
        <v>2.9</v>
      </c>
      <c r="G134" s="41">
        <v>3.4</v>
      </c>
      <c r="H134" s="41">
        <v>3.1</v>
      </c>
      <c r="I134" s="25" t="s">
        <v>744</v>
      </c>
      <c r="J134" s="25" t="s">
        <v>187</v>
      </c>
      <c r="K134" s="41">
        <v>9.0</v>
      </c>
      <c r="L134" s="41">
        <v>8.9</v>
      </c>
      <c r="M134" s="30">
        <v>45304.0</v>
      </c>
    </row>
    <row r="135" ht="15.75" customHeight="1">
      <c r="A135" s="27" t="s">
        <v>3292</v>
      </c>
      <c r="B135" s="27" t="s">
        <v>808</v>
      </c>
      <c r="C135" s="26">
        <v>2024.0</v>
      </c>
      <c r="D135" s="27" t="s">
        <v>3156</v>
      </c>
      <c r="E135" s="27" t="s">
        <v>2520</v>
      </c>
      <c r="F135" s="42">
        <v>2.8</v>
      </c>
      <c r="G135" s="42">
        <v>4.0</v>
      </c>
      <c r="H135" s="42">
        <v>3.4</v>
      </c>
      <c r="I135" s="27" t="s">
        <v>744</v>
      </c>
      <c r="J135" s="27" t="s">
        <v>187</v>
      </c>
      <c r="K135" s="42">
        <v>0.9</v>
      </c>
      <c r="L135" s="42">
        <v>0.9</v>
      </c>
      <c r="M135" s="33">
        <v>45682.0</v>
      </c>
    </row>
    <row r="136" ht="15.75" customHeight="1">
      <c r="A136" s="25" t="s">
        <v>3293</v>
      </c>
      <c r="B136" s="25" t="s">
        <v>815</v>
      </c>
      <c r="C136" s="24">
        <v>2024.0</v>
      </c>
      <c r="D136" s="25" t="s">
        <v>3156</v>
      </c>
      <c r="E136" s="25" t="s">
        <v>3159</v>
      </c>
      <c r="F136" s="41">
        <v>4.3</v>
      </c>
      <c r="G136" s="41">
        <v>3.5</v>
      </c>
      <c r="H136" s="41">
        <v>3.9</v>
      </c>
      <c r="I136" s="25" t="s">
        <v>750</v>
      </c>
      <c r="J136" s="25" t="s">
        <v>187</v>
      </c>
      <c r="K136" s="41">
        <v>7.8</v>
      </c>
      <c r="L136" s="41">
        <v>7.2</v>
      </c>
      <c r="M136" s="30">
        <v>45679.0</v>
      </c>
    </row>
    <row r="137" ht="15.75" customHeight="1">
      <c r="A137" s="27" t="s">
        <v>3294</v>
      </c>
      <c r="B137" s="27" t="s">
        <v>822</v>
      </c>
      <c r="C137" s="26">
        <v>2022.0</v>
      </c>
      <c r="D137" s="27" t="s">
        <v>3156</v>
      </c>
      <c r="E137" s="27" t="s">
        <v>2520</v>
      </c>
      <c r="F137" s="42">
        <v>4.9</v>
      </c>
      <c r="G137" s="42">
        <v>4.4</v>
      </c>
      <c r="H137" s="42">
        <v>4.7</v>
      </c>
      <c r="I137" s="27" t="s">
        <v>771</v>
      </c>
      <c r="J137" s="27" t="s">
        <v>187</v>
      </c>
      <c r="K137" s="42">
        <v>1.6</v>
      </c>
      <c r="L137" s="42">
        <v>2.3</v>
      </c>
      <c r="M137" s="33">
        <v>44963.0</v>
      </c>
    </row>
    <row r="138" ht="15.75" customHeight="1">
      <c r="A138" s="25" t="s">
        <v>3295</v>
      </c>
      <c r="B138" s="25" t="s">
        <v>822</v>
      </c>
      <c r="C138" s="24">
        <v>2023.0</v>
      </c>
      <c r="D138" s="25" t="s">
        <v>3156</v>
      </c>
      <c r="E138" s="25" t="s">
        <v>2520</v>
      </c>
      <c r="F138" s="41">
        <v>2.9</v>
      </c>
      <c r="G138" s="41">
        <v>3.2</v>
      </c>
      <c r="H138" s="41">
        <v>3.0</v>
      </c>
      <c r="I138" s="25" t="s">
        <v>771</v>
      </c>
      <c r="J138" s="25" t="s">
        <v>187</v>
      </c>
      <c r="K138" s="41">
        <v>1.9</v>
      </c>
      <c r="L138" s="41">
        <v>1.9</v>
      </c>
      <c r="M138" s="30">
        <v>45365.0</v>
      </c>
    </row>
    <row r="139" ht="15.75" customHeight="1">
      <c r="A139" s="27" t="s">
        <v>3296</v>
      </c>
      <c r="B139" s="27" t="s">
        <v>822</v>
      </c>
      <c r="C139" s="26">
        <v>2024.0</v>
      </c>
      <c r="D139" s="27" t="s">
        <v>3156</v>
      </c>
      <c r="E139" s="27" t="s">
        <v>3223</v>
      </c>
      <c r="F139" s="42">
        <v>3.5</v>
      </c>
      <c r="G139" s="42">
        <v>4.1</v>
      </c>
      <c r="H139" s="42">
        <v>3.8</v>
      </c>
      <c r="I139" s="27" t="s">
        <v>771</v>
      </c>
      <c r="J139" s="27" t="s">
        <v>187</v>
      </c>
      <c r="K139" s="42">
        <v>0.0</v>
      </c>
      <c r="L139" s="42">
        <v>0.0</v>
      </c>
      <c r="M139" s="33">
        <v>45668.0</v>
      </c>
    </row>
    <row r="140" ht="15.75" customHeight="1">
      <c r="A140" s="25" t="s">
        <v>3297</v>
      </c>
      <c r="B140" s="25" t="s">
        <v>830</v>
      </c>
      <c r="C140" s="24">
        <v>2022.0</v>
      </c>
      <c r="D140" s="25" t="s">
        <v>3156</v>
      </c>
      <c r="E140" s="25" t="s">
        <v>3159</v>
      </c>
      <c r="F140" s="41">
        <v>2.9</v>
      </c>
      <c r="G140" s="41">
        <v>4.1</v>
      </c>
      <c r="H140" s="41">
        <v>3.5</v>
      </c>
      <c r="I140" s="25" t="s">
        <v>750</v>
      </c>
      <c r="J140" s="25" t="s">
        <v>187</v>
      </c>
      <c r="K140" s="41">
        <v>8.8</v>
      </c>
      <c r="L140" s="41">
        <v>10.5</v>
      </c>
      <c r="M140" s="30">
        <v>45013.0</v>
      </c>
    </row>
    <row r="141" ht="15.75" customHeight="1">
      <c r="A141" s="27" t="s">
        <v>3298</v>
      </c>
      <c r="B141" s="27" t="s">
        <v>830</v>
      </c>
      <c r="C141" s="26">
        <v>2023.0</v>
      </c>
      <c r="D141" s="27" t="s">
        <v>3156</v>
      </c>
      <c r="E141" s="27" t="s">
        <v>3157</v>
      </c>
      <c r="F141" s="42">
        <v>4.8</v>
      </c>
      <c r="G141" s="42">
        <v>3.6</v>
      </c>
      <c r="H141" s="42">
        <v>4.2</v>
      </c>
      <c r="I141" s="27" t="s">
        <v>750</v>
      </c>
      <c r="J141" s="27" t="s">
        <v>187</v>
      </c>
      <c r="K141" s="42">
        <v>13.1</v>
      </c>
      <c r="L141" s="42">
        <v>20.7</v>
      </c>
      <c r="M141" s="33">
        <v>45298.0</v>
      </c>
    </row>
    <row r="142" ht="15.75" customHeight="1">
      <c r="A142" s="25" t="s">
        <v>3299</v>
      </c>
      <c r="B142" s="25" t="s">
        <v>830</v>
      </c>
      <c r="C142" s="24">
        <v>2024.0</v>
      </c>
      <c r="D142" s="25" t="s">
        <v>3156</v>
      </c>
      <c r="E142" s="25" t="s">
        <v>3159</v>
      </c>
      <c r="F142" s="41">
        <v>3.6</v>
      </c>
      <c r="G142" s="41">
        <v>4.2</v>
      </c>
      <c r="H142" s="41">
        <v>3.9</v>
      </c>
      <c r="I142" s="25" t="s">
        <v>750</v>
      </c>
      <c r="J142" s="25" t="s">
        <v>187</v>
      </c>
      <c r="K142" s="41">
        <v>5.2</v>
      </c>
      <c r="L142" s="41">
        <v>9.5</v>
      </c>
      <c r="M142" s="30">
        <v>45716.0</v>
      </c>
    </row>
    <row r="143" ht="15.75" customHeight="1">
      <c r="A143" s="27" t="s">
        <v>3300</v>
      </c>
      <c r="B143" s="27" t="s">
        <v>837</v>
      </c>
      <c r="C143" s="26">
        <v>2022.0</v>
      </c>
      <c r="D143" s="27" t="s">
        <v>3156</v>
      </c>
      <c r="E143" s="27" t="s">
        <v>2520</v>
      </c>
      <c r="F143" s="42">
        <v>2.9</v>
      </c>
      <c r="G143" s="42">
        <v>3.7</v>
      </c>
      <c r="H143" s="42">
        <v>3.3</v>
      </c>
      <c r="I143" s="27" t="s">
        <v>712</v>
      </c>
      <c r="J143" s="27" t="s">
        <v>187</v>
      </c>
      <c r="K143" s="42">
        <v>0.1</v>
      </c>
      <c r="L143" s="42">
        <v>5.0</v>
      </c>
      <c r="M143" s="33">
        <v>44960.0</v>
      </c>
    </row>
    <row r="144" ht="15.75" customHeight="1">
      <c r="A144" s="25" t="s">
        <v>3301</v>
      </c>
      <c r="B144" s="25" t="s">
        <v>837</v>
      </c>
      <c r="C144" s="24">
        <v>2023.0</v>
      </c>
      <c r="D144" s="25" t="s">
        <v>3156</v>
      </c>
      <c r="E144" s="25" t="s">
        <v>3159</v>
      </c>
      <c r="F144" s="41">
        <v>4.9</v>
      </c>
      <c r="G144" s="41">
        <v>4.7</v>
      </c>
      <c r="H144" s="41">
        <v>4.8</v>
      </c>
      <c r="I144" s="25" t="s">
        <v>712</v>
      </c>
      <c r="J144" s="25" t="s">
        <v>187</v>
      </c>
      <c r="K144" s="41">
        <v>7.6</v>
      </c>
      <c r="L144" s="41">
        <v>10.0</v>
      </c>
      <c r="M144" s="30">
        <v>45353.0</v>
      </c>
    </row>
    <row r="145" ht="15.75" customHeight="1">
      <c r="A145" s="27" t="s">
        <v>3302</v>
      </c>
      <c r="B145" s="27" t="s">
        <v>837</v>
      </c>
      <c r="C145" s="26">
        <v>2024.0</v>
      </c>
      <c r="D145" s="27" t="s">
        <v>3156</v>
      </c>
      <c r="E145" s="27" t="s">
        <v>3159</v>
      </c>
      <c r="F145" s="42">
        <v>3.5</v>
      </c>
      <c r="G145" s="42">
        <v>4.6</v>
      </c>
      <c r="H145" s="42">
        <v>4.0</v>
      </c>
      <c r="I145" s="27" t="s">
        <v>712</v>
      </c>
      <c r="J145" s="27" t="s">
        <v>187</v>
      </c>
      <c r="K145" s="42">
        <v>5.8</v>
      </c>
      <c r="L145" s="42">
        <v>9.5</v>
      </c>
      <c r="M145" s="33">
        <v>45661.0</v>
      </c>
    </row>
    <row r="146" ht="15.75" customHeight="1">
      <c r="A146" s="25" t="s">
        <v>3303</v>
      </c>
      <c r="B146" s="25" t="s">
        <v>843</v>
      </c>
      <c r="C146" s="24">
        <v>2023.0</v>
      </c>
      <c r="D146" s="25" t="s">
        <v>3156</v>
      </c>
      <c r="E146" s="25" t="s">
        <v>3157</v>
      </c>
      <c r="F146" s="41">
        <v>3.2</v>
      </c>
      <c r="G146" s="41">
        <v>4.6</v>
      </c>
      <c r="H146" s="41">
        <v>3.9</v>
      </c>
      <c r="I146" s="25" t="s">
        <v>698</v>
      </c>
      <c r="J146" s="25" t="s">
        <v>181</v>
      </c>
      <c r="K146" s="41">
        <v>13.3</v>
      </c>
      <c r="L146" s="41">
        <v>16.2</v>
      </c>
      <c r="M146" s="30">
        <v>45300.0</v>
      </c>
    </row>
    <row r="147" ht="15.75" customHeight="1">
      <c r="A147" s="27" t="s">
        <v>3304</v>
      </c>
      <c r="B147" s="27" t="s">
        <v>843</v>
      </c>
      <c r="C147" s="26">
        <v>2024.0</v>
      </c>
      <c r="D147" s="27" t="s">
        <v>3156</v>
      </c>
      <c r="E147" s="27" t="s">
        <v>3157</v>
      </c>
      <c r="F147" s="42">
        <v>4.1</v>
      </c>
      <c r="G147" s="42">
        <v>2.7</v>
      </c>
      <c r="H147" s="42">
        <v>3.4</v>
      </c>
      <c r="I147" s="27" t="s">
        <v>698</v>
      </c>
      <c r="J147" s="27" t="s">
        <v>181</v>
      </c>
      <c r="K147" s="42">
        <v>14.3</v>
      </c>
      <c r="L147" s="42">
        <v>13.9</v>
      </c>
      <c r="M147" s="33">
        <v>45725.0</v>
      </c>
    </row>
    <row r="148" ht="15.75" customHeight="1">
      <c r="A148" s="25" t="s">
        <v>3305</v>
      </c>
      <c r="B148" s="25" t="s">
        <v>849</v>
      </c>
      <c r="C148" s="24">
        <v>2024.0</v>
      </c>
      <c r="D148" s="25" t="s">
        <v>3156</v>
      </c>
      <c r="E148" s="25" t="s">
        <v>3159</v>
      </c>
      <c r="F148" s="41">
        <v>4.0</v>
      </c>
      <c r="G148" s="41">
        <v>4.4</v>
      </c>
      <c r="H148" s="41">
        <v>4.2</v>
      </c>
      <c r="I148" s="25" t="s">
        <v>744</v>
      </c>
      <c r="J148" s="25" t="s">
        <v>187</v>
      </c>
      <c r="K148" s="41">
        <v>5.4</v>
      </c>
      <c r="L148" s="41">
        <v>7.5</v>
      </c>
      <c r="M148" s="30">
        <v>45722.0</v>
      </c>
    </row>
    <row r="149" ht="15.75" customHeight="1">
      <c r="A149" s="27" t="s">
        <v>3306</v>
      </c>
      <c r="B149" s="27" t="s">
        <v>855</v>
      </c>
      <c r="C149" s="26">
        <v>2024.0</v>
      </c>
      <c r="D149" s="27" t="s">
        <v>3156</v>
      </c>
      <c r="E149" s="27" t="s">
        <v>3159</v>
      </c>
      <c r="F149" s="42">
        <v>3.3</v>
      </c>
      <c r="G149" s="42">
        <v>4.3</v>
      </c>
      <c r="H149" s="42">
        <v>3.8</v>
      </c>
      <c r="I149" s="27" t="s">
        <v>698</v>
      </c>
      <c r="J149" s="27" t="s">
        <v>187</v>
      </c>
      <c r="K149" s="42">
        <v>4.8</v>
      </c>
      <c r="L149" s="42">
        <v>9.3</v>
      </c>
      <c r="M149" s="33">
        <v>45709.0</v>
      </c>
    </row>
    <row r="150" ht="15.75" customHeight="1">
      <c r="A150" s="25" t="s">
        <v>3307</v>
      </c>
      <c r="B150" s="25" t="s">
        <v>862</v>
      </c>
      <c r="C150" s="24">
        <v>2024.0</v>
      </c>
      <c r="D150" s="25" t="s">
        <v>3156</v>
      </c>
      <c r="E150" s="25" t="s">
        <v>3159</v>
      </c>
      <c r="F150" s="41">
        <v>4.6</v>
      </c>
      <c r="G150" s="41">
        <v>4.0</v>
      </c>
      <c r="H150" s="41">
        <v>4.3</v>
      </c>
      <c r="I150" s="25" t="s">
        <v>779</v>
      </c>
      <c r="J150" s="25" t="s">
        <v>187</v>
      </c>
      <c r="K150" s="41">
        <v>4.1</v>
      </c>
      <c r="L150" s="41">
        <v>11.1</v>
      </c>
      <c r="M150" s="30">
        <v>45708.0</v>
      </c>
    </row>
    <row r="151" ht="15.75" customHeight="1">
      <c r="A151" s="27" t="s">
        <v>3308</v>
      </c>
      <c r="B151" s="27" t="s">
        <v>868</v>
      </c>
      <c r="C151" s="26">
        <v>2024.0</v>
      </c>
      <c r="D151" s="27" t="s">
        <v>3156</v>
      </c>
      <c r="E151" s="27" t="s">
        <v>2520</v>
      </c>
      <c r="F151" s="42">
        <v>4.9</v>
      </c>
      <c r="G151" s="42">
        <v>4.1</v>
      </c>
      <c r="H151" s="42">
        <v>4.5</v>
      </c>
      <c r="I151" s="27" t="s">
        <v>779</v>
      </c>
      <c r="J151" s="27" t="s">
        <v>187</v>
      </c>
      <c r="K151" s="42">
        <v>2.1</v>
      </c>
      <c r="L151" s="42">
        <v>3.2</v>
      </c>
      <c r="M151" s="33">
        <v>45732.0</v>
      </c>
    </row>
    <row r="152" ht="15.75" customHeight="1">
      <c r="A152" s="25" t="s">
        <v>3309</v>
      </c>
      <c r="B152" s="25" t="s">
        <v>875</v>
      </c>
      <c r="C152" s="24">
        <v>2024.0</v>
      </c>
      <c r="D152" s="25" t="s">
        <v>3156</v>
      </c>
      <c r="E152" s="25" t="s">
        <v>3157</v>
      </c>
      <c r="F152" s="41">
        <v>4.7</v>
      </c>
      <c r="G152" s="41">
        <v>2.5</v>
      </c>
      <c r="H152" s="41">
        <v>3.6</v>
      </c>
      <c r="I152" s="25" t="s">
        <v>705</v>
      </c>
      <c r="J152" s="25" t="s">
        <v>181</v>
      </c>
      <c r="K152" s="41">
        <v>14.6</v>
      </c>
      <c r="L152" s="41">
        <v>13.4</v>
      </c>
      <c r="M152" s="30">
        <v>45723.0</v>
      </c>
    </row>
    <row r="153" ht="15.75" customHeight="1">
      <c r="A153" s="27" t="s">
        <v>3310</v>
      </c>
      <c r="B153" s="27" t="s">
        <v>883</v>
      </c>
      <c r="C153" s="26">
        <v>2023.0</v>
      </c>
      <c r="D153" s="27" t="s">
        <v>3156</v>
      </c>
      <c r="E153" s="27" t="s">
        <v>3159</v>
      </c>
      <c r="F153" s="42">
        <v>3.6</v>
      </c>
      <c r="G153" s="42">
        <v>4.8</v>
      </c>
      <c r="H153" s="42">
        <v>4.2</v>
      </c>
      <c r="I153" s="27" t="s">
        <v>698</v>
      </c>
      <c r="J153" s="27" t="s">
        <v>187</v>
      </c>
      <c r="K153" s="42">
        <v>8.2</v>
      </c>
      <c r="L153" s="42">
        <v>8.7</v>
      </c>
      <c r="M153" s="33">
        <v>45303.0</v>
      </c>
    </row>
    <row r="154" ht="15.75" customHeight="1">
      <c r="A154" s="25" t="s">
        <v>3311</v>
      </c>
      <c r="B154" s="25" t="s">
        <v>883</v>
      </c>
      <c r="C154" s="24">
        <v>2024.0</v>
      </c>
      <c r="D154" s="25" t="s">
        <v>3156</v>
      </c>
      <c r="E154" s="25" t="s">
        <v>3159</v>
      </c>
      <c r="F154" s="41">
        <v>3.5</v>
      </c>
      <c r="G154" s="41">
        <v>2.7</v>
      </c>
      <c r="H154" s="41">
        <v>3.1</v>
      </c>
      <c r="I154" s="25" t="s">
        <v>698</v>
      </c>
      <c r="J154" s="25" t="s">
        <v>187</v>
      </c>
      <c r="K154" s="41">
        <v>4.3</v>
      </c>
      <c r="L154" s="41">
        <v>10.2</v>
      </c>
      <c r="M154" s="30">
        <v>45672.0</v>
      </c>
    </row>
    <row r="155" ht="15.75" customHeight="1">
      <c r="A155" s="27" t="s">
        <v>3312</v>
      </c>
      <c r="B155" s="27" t="s">
        <v>890</v>
      </c>
      <c r="C155" s="26">
        <v>2024.0</v>
      </c>
      <c r="D155" s="27" t="s">
        <v>3156</v>
      </c>
      <c r="E155" s="27" t="s">
        <v>3159</v>
      </c>
      <c r="F155" s="42">
        <v>3.1</v>
      </c>
      <c r="G155" s="42">
        <v>3.1</v>
      </c>
      <c r="H155" s="42">
        <v>3.1</v>
      </c>
      <c r="I155" s="27" t="s">
        <v>689</v>
      </c>
      <c r="J155" s="27" t="s">
        <v>187</v>
      </c>
      <c r="K155" s="42">
        <v>7.4</v>
      </c>
      <c r="L155" s="42">
        <v>9.8</v>
      </c>
      <c r="M155" s="33">
        <v>45677.0</v>
      </c>
    </row>
    <row r="156" ht="15.75" customHeight="1">
      <c r="A156" s="25" t="s">
        <v>3313</v>
      </c>
      <c r="B156" s="25" t="s">
        <v>897</v>
      </c>
      <c r="C156" s="24">
        <v>2022.0</v>
      </c>
      <c r="D156" s="25" t="s">
        <v>3156</v>
      </c>
      <c r="E156" s="25" t="s">
        <v>3159</v>
      </c>
      <c r="F156" s="41">
        <v>3.2</v>
      </c>
      <c r="G156" s="41">
        <v>4.4</v>
      </c>
      <c r="H156" s="41">
        <v>3.8</v>
      </c>
      <c r="I156" s="25" t="s">
        <v>689</v>
      </c>
      <c r="J156" s="25" t="s">
        <v>187</v>
      </c>
      <c r="K156" s="41">
        <v>8.6</v>
      </c>
      <c r="L156" s="41">
        <v>7.1</v>
      </c>
      <c r="M156" s="30">
        <v>44945.0</v>
      </c>
    </row>
    <row r="157" ht="15.75" customHeight="1">
      <c r="A157" s="27" t="s">
        <v>3314</v>
      </c>
      <c r="B157" s="27" t="s">
        <v>897</v>
      </c>
      <c r="C157" s="26">
        <v>2023.0</v>
      </c>
      <c r="D157" s="27" t="s">
        <v>3156</v>
      </c>
      <c r="E157" s="27" t="s">
        <v>3159</v>
      </c>
      <c r="F157" s="42">
        <v>3.7</v>
      </c>
      <c r="G157" s="42">
        <v>2.7</v>
      </c>
      <c r="H157" s="42">
        <v>3.2</v>
      </c>
      <c r="I157" s="27" t="s">
        <v>689</v>
      </c>
      <c r="J157" s="27" t="s">
        <v>187</v>
      </c>
      <c r="K157" s="42">
        <v>4.3</v>
      </c>
      <c r="L157" s="42">
        <v>8.3</v>
      </c>
      <c r="M157" s="33">
        <v>45329.0</v>
      </c>
    </row>
    <row r="158" ht="15.75" customHeight="1">
      <c r="A158" s="25" t="s">
        <v>3315</v>
      </c>
      <c r="B158" s="25" t="s">
        <v>897</v>
      </c>
      <c r="C158" s="24">
        <v>2024.0</v>
      </c>
      <c r="D158" s="25" t="s">
        <v>3156</v>
      </c>
      <c r="E158" s="25" t="s">
        <v>3157</v>
      </c>
      <c r="F158" s="41">
        <v>4.0</v>
      </c>
      <c r="G158" s="41">
        <v>4.0</v>
      </c>
      <c r="H158" s="41">
        <v>4.0</v>
      </c>
      <c r="I158" s="25" t="s">
        <v>689</v>
      </c>
      <c r="J158" s="25" t="s">
        <v>181</v>
      </c>
      <c r="K158" s="41">
        <v>10.1</v>
      </c>
      <c r="L158" s="41">
        <v>23.6</v>
      </c>
      <c r="M158" s="30">
        <v>45742.0</v>
      </c>
    </row>
    <row r="159" ht="15.75" customHeight="1">
      <c r="A159" s="27" t="s">
        <v>3316</v>
      </c>
      <c r="B159" s="27" t="s">
        <v>903</v>
      </c>
      <c r="C159" s="26">
        <v>2022.0</v>
      </c>
      <c r="D159" s="27" t="s">
        <v>3156</v>
      </c>
      <c r="E159" s="27" t="s">
        <v>3159</v>
      </c>
      <c r="F159" s="42">
        <v>4.4</v>
      </c>
      <c r="G159" s="42">
        <v>5.0</v>
      </c>
      <c r="H159" s="42">
        <v>4.7</v>
      </c>
      <c r="I159" s="27" t="s">
        <v>786</v>
      </c>
      <c r="J159" s="27" t="s">
        <v>187</v>
      </c>
      <c r="K159" s="42">
        <v>6.0</v>
      </c>
      <c r="L159" s="42">
        <v>7.3</v>
      </c>
      <c r="M159" s="33">
        <v>44978.0</v>
      </c>
    </row>
    <row r="160" ht="15.75" customHeight="1">
      <c r="A160" s="25" t="s">
        <v>3317</v>
      </c>
      <c r="B160" s="25" t="s">
        <v>903</v>
      </c>
      <c r="C160" s="24">
        <v>2023.0</v>
      </c>
      <c r="D160" s="25" t="s">
        <v>3156</v>
      </c>
      <c r="E160" s="25" t="s">
        <v>3159</v>
      </c>
      <c r="F160" s="41">
        <v>4.7</v>
      </c>
      <c r="G160" s="41">
        <v>3.1</v>
      </c>
      <c r="H160" s="41">
        <v>3.9</v>
      </c>
      <c r="I160" s="25" t="s">
        <v>786</v>
      </c>
      <c r="J160" s="25" t="s">
        <v>187</v>
      </c>
      <c r="K160" s="41">
        <v>6.8</v>
      </c>
      <c r="L160" s="41">
        <v>11.8</v>
      </c>
      <c r="M160" s="30">
        <v>45323.0</v>
      </c>
    </row>
    <row r="161" ht="15.75" customHeight="1">
      <c r="A161" s="27" t="s">
        <v>3318</v>
      </c>
      <c r="B161" s="27" t="s">
        <v>903</v>
      </c>
      <c r="C161" s="26">
        <v>2024.0</v>
      </c>
      <c r="D161" s="27" t="s">
        <v>3156</v>
      </c>
      <c r="E161" s="27" t="s">
        <v>3159</v>
      </c>
      <c r="F161" s="42">
        <v>4.9</v>
      </c>
      <c r="G161" s="42">
        <v>3.7</v>
      </c>
      <c r="H161" s="42">
        <v>4.3</v>
      </c>
      <c r="I161" s="27" t="s">
        <v>786</v>
      </c>
      <c r="J161" s="27" t="s">
        <v>187</v>
      </c>
      <c r="K161" s="42">
        <v>4.3</v>
      </c>
      <c r="L161" s="42">
        <v>11.5</v>
      </c>
      <c r="M161" s="33">
        <v>45738.0</v>
      </c>
    </row>
    <row r="162" ht="15.75" customHeight="1">
      <c r="A162" s="25" t="s">
        <v>3319</v>
      </c>
      <c r="B162" s="25" t="s">
        <v>909</v>
      </c>
      <c r="C162" s="24">
        <v>2022.0</v>
      </c>
      <c r="D162" s="25" t="s">
        <v>3156</v>
      </c>
      <c r="E162" s="25" t="s">
        <v>3159</v>
      </c>
      <c r="F162" s="41">
        <v>3.0</v>
      </c>
      <c r="G162" s="41">
        <v>4.4</v>
      </c>
      <c r="H162" s="41">
        <v>3.7</v>
      </c>
      <c r="I162" s="25" t="s">
        <v>779</v>
      </c>
      <c r="J162" s="25" t="s">
        <v>187</v>
      </c>
      <c r="K162" s="41">
        <v>5.1</v>
      </c>
      <c r="L162" s="41">
        <v>8.7</v>
      </c>
      <c r="M162" s="30">
        <v>44977.0</v>
      </c>
    </row>
    <row r="163" ht="15.75" customHeight="1">
      <c r="A163" s="27" t="s">
        <v>3320</v>
      </c>
      <c r="B163" s="27" t="s">
        <v>909</v>
      </c>
      <c r="C163" s="26">
        <v>2023.0</v>
      </c>
      <c r="D163" s="27" t="s">
        <v>3156</v>
      </c>
      <c r="E163" s="27" t="s">
        <v>3159</v>
      </c>
      <c r="F163" s="42">
        <v>4.2</v>
      </c>
      <c r="G163" s="42">
        <v>3.3</v>
      </c>
      <c r="H163" s="42">
        <v>3.8</v>
      </c>
      <c r="I163" s="27" t="s">
        <v>779</v>
      </c>
      <c r="J163" s="27" t="s">
        <v>187</v>
      </c>
      <c r="K163" s="42">
        <v>6.0</v>
      </c>
      <c r="L163" s="42">
        <v>9.6</v>
      </c>
      <c r="M163" s="33">
        <v>45367.0</v>
      </c>
    </row>
    <row r="164" ht="15.75" customHeight="1">
      <c r="A164" s="25" t="s">
        <v>3321</v>
      </c>
      <c r="B164" s="25" t="s">
        <v>909</v>
      </c>
      <c r="C164" s="24">
        <v>2024.0</v>
      </c>
      <c r="D164" s="25" t="s">
        <v>3156</v>
      </c>
      <c r="E164" s="25" t="s">
        <v>3159</v>
      </c>
      <c r="F164" s="41">
        <v>4.5</v>
      </c>
      <c r="G164" s="41">
        <v>4.4</v>
      </c>
      <c r="H164" s="41">
        <v>4.5</v>
      </c>
      <c r="I164" s="25" t="s">
        <v>779</v>
      </c>
      <c r="J164" s="25" t="s">
        <v>187</v>
      </c>
      <c r="K164" s="41">
        <v>8.7</v>
      </c>
      <c r="L164" s="41">
        <v>7.1</v>
      </c>
      <c r="M164" s="30">
        <v>45712.0</v>
      </c>
    </row>
    <row r="165" ht="15.75" customHeight="1">
      <c r="A165" s="27" t="s">
        <v>3322</v>
      </c>
      <c r="B165" s="27" t="s">
        <v>915</v>
      </c>
      <c r="C165" s="26">
        <v>2023.0</v>
      </c>
      <c r="D165" s="27" t="s">
        <v>3156</v>
      </c>
      <c r="E165" s="27" t="s">
        <v>3159</v>
      </c>
      <c r="F165" s="42">
        <v>4.4</v>
      </c>
      <c r="G165" s="42">
        <v>3.6</v>
      </c>
      <c r="H165" s="42">
        <v>4.0</v>
      </c>
      <c r="I165" s="27" t="s">
        <v>712</v>
      </c>
      <c r="J165" s="27" t="s">
        <v>187</v>
      </c>
      <c r="K165" s="42">
        <v>6.0</v>
      </c>
      <c r="L165" s="42">
        <v>7.8</v>
      </c>
      <c r="M165" s="33">
        <v>45343.0</v>
      </c>
    </row>
    <row r="166" ht="15.75" customHeight="1">
      <c r="A166" s="25" t="s">
        <v>3323</v>
      </c>
      <c r="B166" s="25" t="s">
        <v>915</v>
      </c>
      <c r="C166" s="24">
        <v>2024.0</v>
      </c>
      <c r="D166" s="25" t="s">
        <v>3156</v>
      </c>
      <c r="E166" s="25" t="s">
        <v>2520</v>
      </c>
      <c r="F166" s="41">
        <v>4.9</v>
      </c>
      <c r="G166" s="41">
        <v>4.4</v>
      </c>
      <c r="H166" s="41">
        <v>4.7</v>
      </c>
      <c r="I166" s="25" t="s">
        <v>712</v>
      </c>
      <c r="J166" s="25" t="s">
        <v>187</v>
      </c>
      <c r="K166" s="41">
        <v>0.8</v>
      </c>
      <c r="L166" s="41">
        <v>1.9</v>
      </c>
      <c r="M166" s="30">
        <v>45702.0</v>
      </c>
    </row>
    <row r="167" ht="15.75" customHeight="1">
      <c r="A167" s="27" t="s">
        <v>3324</v>
      </c>
      <c r="B167" s="27" t="s">
        <v>921</v>
      </c>
      <c r="C167" s="26">
        <v>2022.0</v>
      </c>
      <c r="D167" s="27" t="s">
        <v>3156</v>
      </c>
      <c r="E167" s="27" t="s">
        <v>3159</v>
      </c>
      <c r="F167" s="42">
        <v>3.3</v>
      </c>
      <c r="G167" s="42">
        <v>3.9</v>
      </c>
      <c r="H167" s="42">
        <v>3.6</v>
      </c>
      <c r="I167" s="27" t="s">
        <v>705</v>
      </c>
      <c r="J167" s="27" t="s">
        <v>187</v>
      </c>
      <c r="K167" s="42">
        <v>5.1</v>
      </c>
      <c r="L167" s="42">
        <v>5.7</v>
      </c>
      <c r="M167" s="33">
        <v>44981.0</v>
      </c>
    </row>
    <row r="168" ht="15.75" customHeight="1">
      <c r="A168" s="25" t="s">
        <v>3325</v>
      </c>
      <c r="B168" s="25" t="s">
        <v>921</v>
      </c>
      <c r="C168" s="24">
        <v>2023.0</v>
      </c>
      <c r="D168" s="25" t="s">
        <v>3156</v>
      </c>
      <c r="E168" s="25" t="s">
        <v>3159</v>
      </c>
      <c r="F168" s="41">
        <v>4.3</v>
      </c>
      <c r="G168" s="41">
        <v>3.7</v>
      </c>
      <c r="H168" s="41">
        <v>4.0</v>
      </c>
      <c r="I168" s="25" t="s">
        <v>705</v>
      </c>
      <c r="J168" s="25" t="s">
        <v>187</v>
      </c>
      <c r="K168" s="41">
        <v>4.2</v>
      </c>
      <c r="L168" s="41">
        <v>11.4</v>
      </c>
      <c r="M168" s="30">
        <v>45342.0</v>
      </c>
    </row>
    <row r="169" ht="15.75" customHeight="1">
      <c r="A169" s="27" t="s">
        <v>3326</v>
      </c>
      <c r="B169" s="27" t="s">
        <v>921</v>
      </c>
      <c r="C169" s="26">
        <v>2024.0</v>
      </c>
      <c r="D169" s="27" t="s">
        <v>3156</v>
      </c>
      <c r="E169" s="27" t="s">
        <v>3159</v>
      </c>
      <c r="F169" s="42">
        <v>2.6</v>
      </c>
      <c r="G169" s="42">
        <v>2.6</v>
      </c>
      <c r="H169" s="42">
        <v>2.6</v>
      </c>
      <c r="I169" s="27" t="s">
        <v>705</v>
      </c>
      <c r="J169" s="27" t="s">
        <v>187</v>
      </c>
      <c r="K169" s="42">
        <v>6.7</v>
      </c>
      <c r="L169" s="42">
        <v>8.3</v>
      </c>
      <c r="M169" s="33">
        <v>45668.0</v>
      </c>
    </row>
    <row r="170" ht="15.75" customHeight="1">
      <c r="A170" s="25" t="s">
        <v>3327</v>
      </c>
      <c r="B170" s="25" t="s">
        <v>928</v>
      </c>
      <c r="C170" s="24">
        <v>2022.0</v>
      </c>
      <c r="D170" s="25" t="s">
        <v>3156</v>
      </c>
      <c r="E170" s="25" t="s">
        <v>3223</v>
      </c>
      <c r="F170" s="41">
        <v>4.3</v>
      </c>
      <c r="G170" s="41">
        <v>4.6</v>
      </c>
      <c r="H170" s="41">
        <v>4.4</v>
      </c>
      <c r="I170" s="25" t="s">
        <v>712</v>
      </c>
      <c r="J170" s="25" t="s">
        <v>187</v>
      </c>
      <c r="K170" s="41">
        <v>0.0</v>
      </c>
      <c r="L170" s="41">
        <v>0.0</v>
      </c>
      <c r="M170" s="30">
        <v>45010.0</v>
      </c>
    </row>
    <row r="171" ht="15.75" customHeight="1">
      <c r="A171" s="27" t="s">
        <v>3328</v>
      </c>
      <c r="B171" s="27" t="s">
        <v>928</v>
      </c>
      <c r="C171" s="26">
        <v>2023.0</v>
      </c>
      <c r="D171" s="27" t="s">
        <v>3156</v>
      </c>
      <c r="E171" s="27" t="s">
        <v>3159</v>
      </c>
      <c r="F171" s="42">
        <v>3.9</v>
      </c>
      <c r="G171" s="42">
        <v>4.5</v>
      </c>
      <c r="H171" s="42">
        <v>4.2</v>
      </c>
      <c r="I171" s="27" t="s">
        <v>712</v>
      </c>
      <c r="J171" s="27" t="s">
        <v>187</v>
      </c>
      <c r="K171" s="42">
        <v>4.7</v>
      </c>
      <c r="L171" s="42">
        <v>9.9</v>
      </c>
      <c r="M171" s="33">
        <v>45347.0</v>
      </c>
    </row>
    <row r="172" ht="15.75" customHeight="1">
      <c r="A172" s="25" t="s">
        <v>3329</v>
      </c>
      <c r="B172" s="25" t="s">
        <v>928</v>
      </c>
      <c r="C172" s="24">
        <v>2024.0</v>
      </c>
      <c r="D172" s="25" t="s">
        <v>3156</v>
      </c>
      <c r="E172" s="25" t="s">
        <v>3159</v>
      </c>
      <c r="F172" s="41">
        <v>4.7</v>
      </c>
      <c r="G172" s="41">
        <v>3.0</v>
      </c>
      <c r="H172" s="41">
        <v>3.9</v>
      </c>
      <c r="I172" s="25" t="s">
        <v>712</v>
      </c>
      <c r="J172" s="25" t="s">
        <v>187</v>
      </c>
      <c r="K172" s="41">
        <v>6.3</v>
      </c>
      <c r="L172" s="41">
        <v>9.9</v>
      </c>
      <c r="M172" s="30">
        <v>45717.0</v>
      </c>
    </row>
    <row r="173" ht="15.75" customHeight="1">
      <c r="A173" s="27" t="s">
        <v>3330</v>
      </c>
      <c r="B173" s="27" t="s">
        <v>935</v>
      </c>
      <c r="C173" s="26">
        <v>2023.0</v>
      </c>
      <c r="D173" s="27" t="s">
        <v>3156</v>
      </c>
      <c r="E173" s="27" t="s">
        <v>3157</v>
      </c>
      <c r="F173" s="42">
        <v>4.1</v>
      </c>
      <c r="G173" s="42">
        <v>3.6</v>
      </c>
      <c r="H173" s="42">
        <v>3.8</v>
      </c>
      <c r="I173" s="27" t="s">
        <v>883</v>
      </c>
      <c r="J173" s="27" t="s">
        <v>181</v>
      </c>
      <c r="K173" s="42">
        <v>13.6</v>
      </c>
      <c r="L173" s="42">
        <v>10.9</v>
      </c>
      <c r="M173" s="33">
        <v>45308.0</v>
      </c>
    </row>
    <row r="174" ht="15.75" customHeight="1">
      <c r="A174" s="25" t="s">
        <v>3331</v>
      </c>
      <c r="B174" s="25" t="s">
        <v>935</v>
      </c>
      <c r="C174" s="24">
        <v>2024.0</v>
      </c>
      <c r="D174" s="25" t="s">
        <v>3156</v>
      </c>
      <c r="E174" s="25" t="s">
        <v>2520</v>
      </c>
      <c r="F174" s="41">
        <v>3.3</v>
      </c>
      <c r="G174" s="41">
        <v>3.8</v>
      </c>
      <c r="H174" s="41">
        <v>3.5</v>
      </c>
      <c r="I174" s="25" t="s">
        <v>883</v>
      </c>
      <c r="J174" s="25" t="s">
        <v>187</v>
      </c>
      <c r="K174" s="41">
        <v>0.3</v>
      </c>
      <c r="L174" s="41">
        <v>2.8</v>
      </c>
      <c r="M174" s="30">
        <v>45675.0</v>
      </c>
    </row>
    <row r="175" ht="15.75" customHeight="1">
      <c r="A175" s="27" t="s">
        <v>3332</v>
      </c>
      <c r="B175" s="27" t="s">
        <v>944</v>
      </c>
      <c r="C175" s="26">
        <v>2023.0</v>
      </c>
      <c r="D175" s="27" t="s">
        <v>3156</v>
      </c>
      <c r="E175" s="27" t="s">
        <v>3157</v>
      </c>
      <c r="F175" s="42">
        <v>3.8</v>
      </c>
      <c r="G175" s="42">
        <v>4.6</v>
      </c>
      <c r="H175" s="42">
        <v>4.2</v>
      </c>
      <c r="I175" s="27" t="s">
        <v>875</v>
      </c>
      <c r="J175" s="27" t="s">
        <v>181</v>
      </c>
      <c r="K175" s="42">
        <v>12.0</v>
      </c>
      <c r="L175" s="42">
        <v>12.9</v>
      </c>
      <c r="M175" s="33">
        <v>45337.0</v>
      </c>
    </row>
    <row r="176" ht="15.75" customHeight="1">
      <c r="A176" s="25" t="s">
        <v>3333</v>
      </c>
      <c r="B176" s="25" t="s">
        <v>944</v>
      </c>
      <c r="C176" s="24">
        <v>2024.0</v>
      </c>
      <c r="D176" s="25" t="s">
        <v>3156</v>
      </c>
      <c r="E176" s="25" t="s">
        <v>2520</v>
      </c>
      <c r="F176" s="41">
        <v>5.0</v>
      </c>
      <c r="G176" s="41">
        <v>2.9</v>
      </c>
      <c r="H176" s="41">
        <v>4.0</v>
      </c>
      <c r="I176" s="25" t="s">
        <v>875</v>
      </c>
      <c r="J176" s="25" t="s">
        <v>187</v>
      </c>
      <c r="K176" s="41">
        <v>2.3</v>
      </c>
      <c r="L176" s="41">
        <v>3.7</v>
      </c>
      <c r="M176" s="30">
        <v>45689.0</v>
      </c>
    </row>
    <row r="177" ht="15.75" customHeight="1">
      <c r="A177" s="27" t="s">
        <v>3334</v>
      </c>
      <c r="B177" s="27" t="s">
        <v>950</v>
      </c>
      <c r="C177" s="26">
        <v>2023.0</v>
      </c>
      <c r="D177" s="27" t="s">
        <v>3156</v>
      </c>
      <c r="E177" s="27" t="s">
        <v>3159</v>
      </c>
      <c r="F177" s="42">
        <v>3.2</v>
      </c>
      <c r="G177" s="42">
        <v>4.1</v>
      </c>
      <c r="H177" s="42">
        <v>3.6</v>
      </c>
      <c r="I177" s="27" t="s">
        <v>815</v>
      </c>
      <c r="J177" s="27" t="s">
        <v>187</v>
      </c>
      <c r="K177" s="42">
        <v>4.0</v>
      </c>
      <c r="L177" s="42">
        <v>11.0</v>
      </c>
      <c r="M177" s="33">
        <v>45340.0</v>
      </c>
    </row>
    <row r="178" ht="15.75" customHeight="1">
      <c r="A178" s="25" t="s">
        <v>3335</v>
      </c>
      <c r="B178" s="25" t="s">
        <v>950</v>
      </c>
      <c r="C178" s="24">
        <v>2024.0</v>
      </c>
      <c r="D178" s="25" t="s">
        <v>3156</v>
      </c>
      <c r="E178" s="25" t="s">
        <v>3159</v>
      </c>
      <c r="F178" s="41">
        <v>4.2</v>
      </c>
      <c r="G178" s="41">
        <v>4.4</v>
      </c>
      <c r="H178" s="41">
        <v>4.3</v>
      </c>
      <c r="I178" s="25" t="s">
        <v>815</v>
      </c>
      <c r="J178" s="25" t="s">
        <v>187</v>
      </c>
      <c r="K178" s="41">
        <v>5.8</v>
      </c>
      <c r="L178" s="41">
        <v>6.1</v>
      </c>
      <c r="M178" s="30">
        <v>45667.0</v>
      </c>
    </row>
    <row r="179" ht="15.75" customHeight="1">
      <c r="A179" s="27" t="s">
        <v>3336</v>
      </c>
      <c r="B179" s="27" t="s">
        <v>957</v>
      </c>
      <c r="C179" s="26">
        <v>2023.0</v>
      </c>
      <c r="D179" s="27" t="s">
        <v>3156</v>
      </c>
      <c r="E179" s="27" t="s">
        <v>3157</v>
      </c>
      <c r="F179" s="42">
        <v>2.6</v>
      </c>
      <c r="G179" s="42">
        <v>4.0</v>
      </c>
      <c r="H179" s="42">
        <v>3.3</v>
      </c>
      <c r="I179" s="27" t="s">
        <v>921</v>
      </c>
      <c r="J179" s="27" t="s">
        <v>187</v>
      </c>
      <c r="K179" s="42">
        <v>13.9</v>
      </c>
      <c r="L179" s="42">
        <v>24.3</v>
      </c>
      <c r="M179" s="33">
        <v>45298.0</v>
      </c>
    </row>
    <row r="180" ht="15.75" customHeight="1">
      <c r="A180" s="25" t="s">
        <v>3337</v>
      </c>
      <c r="B180" s="25" t="s">
        <v>957</v>
      </c>
      <c r="C180" s="24">
        <v>2024.0</v>
      </c>
      <c r="D180" s="25" t="s">
        <v>3156</v>
      </c>
      <c r="E180" s="25" t="s">
        <v>3159</v>
      </c>
      <c r="F180" s="41">
        <v>3.6</v>
      </c>
      <c r="G180" s="41">
        <v>3.2</v>
      </c>
      <c r="H180" s="41">
        <v>3.4</v>
      </c>
      <c r="I180" s="25" t="s">
        <v>921</v>
      </c>
      <c r="J180" s="25" t="s">
        <v>187</v>
      </c>
      <c r="K180" s="41">
        <v>5.1</v>
      </c>
      <c r="L180" s="41">
        <v>11.3</v>
      </c>
      <c r="M180" s="30">
        <v>45689.0</v>
      </c>
    </row>
    <row r="181" ht="15.75" customHeight="1">
      <c r="A181" s="27" t="s">
        <v>3338</v>
      </c>
      <c r="B181" s="27" t="s">
        <v>963</v>
      </c>
      <c r="C181" s="26">
        <v>2022.0</v>
      </c>
      <c r="D181" s="27" t="s">
        <v>3156</v>
      </c>
      <c r="E181" s="27" t="s">
        <v>3159</v>
      </c>
      <c r="F181" s="42">
        <v>4.4</v>
      </c>
      <c r="G181" s="42">
        <v>4.3</v>
      </c>
      <c r="H181" s="42">
        <v>4.3</v>
      </c>
      <c r="I181" s="27" t="s">
        <v>921</v>
      </c>
      <c r="J181" s="27" t="s">
        <v>187</v>
      </c>
      <c r="K181" s="42">
        <v>6.2</v>
      </c>
      <c r="L181" s="42">
        <v>7.7</v>
      </c>
      <c r="M181" s="33">
        <v>44932.0</v>
      </c>
    </row>
    <row r="182" ht="15.75" customHeight="1">
      <c r="A182" s="25" t="s">
        <v>3339</v>
      </c>
      <c r="B182" s="25" t="s">
        <v>963</v>
      </c>
      <c r="C182" s="24">
        <v>2023.0</v>
      </c>
      <c r="D182" s="25" t="s">
        <v>3156</v>
      </c>
      <c r="E182" s="25" t="s">
        <v>3159</v>
      </c>
      <c r="F182" s="41">
        <v>3.9</v>
      </c>
      <c r="G182" s="41">
        <v>3.8</v>
      </c>
      <c r="H182" s="41">
        <v>3.8</v>
      </c>
      <c r="I182" s="25" t="s">
        <v>921</v>
      </c>
      <c r="J182" s="25" t="s">
        <v>187</v>
      </c>
      <c r="K182" s="41">
        <v>5.0</v>
      </c>
      <c r="L182" s="41">
        <v>7.5</v>
      </c>
      <c r="M182" s="30">
        <v>45329.0</v>
      </c>
    </row>
    <row r="183" ht="15.75" customHeight="1">
      <c r="A183" s="27" t="s">
        <v>3340</v>
      </c>
      <c r="B183" s="27" t="s">
        <v>963</v>
      </c>
      <c r="C183" s="26">
        <v>2024.0</v>
      </c>
      <c r="D183" s="27" t="s">
        <v>3156</v>
      </c>
      <c r="E183" s="27" t="s">
        <v>3159</v>
      </c>
      <c r="F183" s="42">
        <v>2.7</v>
      </c>
      <c r="G183" s="42">
        <v>3.8</v>
      </c>
      <c r="H183" s="42">
        <v>3.2</v>
      </c>
      <c r="I183" s="27" t="s">
        <v>921</v>
      </c>
      <c r="J183" s="27" t="s">
        <v>187</v>
      </c>
      <c r="K183" s="42">
        <v>6.5</v>
      </c>
      <c r="L183" s="42">
        <v>7.7</v>
      </c>
      <c r="M183" s="33">
        <v>45669.0</v>
      </c>
    </row>
    <row r="184" ht="15.75" customHeight="1">
      <c r="A184" s="25" t="s">
        <v>3341</v>
      </c>
      <c r="B184" s="25" t="s">
        <v>969</v>
      </c>
      <c r="C184" s="24">
        <v>2023.0</v>
      </c>
      <c r="D184" s="25" t="s">
        <v>3156</v>
      </c>
      <c r="E184" s="25" t="s">
        <v>3159</v>
      </c>
      <c r="F184" s="41">
        <v>3.3</v>
      </c>
      <c r="G184" s="41">
        <v>2.7</v>
      </c>
      <c r="H184" s="41">
        <v>3.0</v>
      </c>
      <c r="I184" s="25" t="s">
        <v>855</v>
      </c>
      <c r="J184" s="25" t="s">
        <v>187</v>
      </c>
      <c r="K184" s="41">
        <v>7.3</v>
      </c>
      <c r="L184" s="41">
        <v>9.6</v>
      </c>
      <c r="M184" s="30">
        <v>45323.0</v>
      </c>
    </row>
    <row r="185" ht="15.75" customHeight="1">
      <c r="A185" s="27" t="s">
        <v>3342</v>
      </c>
      <c r="B185" s="27" t="s">
        <v>969</v>
      </c>
      <c r="C185" s="26">
        <v>2024.0</v>
      </c>
      <c r="D185" s="27" t="s">
        <v>3156</v>
      </c>
      <c r="E185" s="27" t="s">
        <v>3223</v>
      </c>
      <c r="F185" s="42">
        <v>3.2</v>
      </c>
      <c r="G185" s="42">
        <v>4.1</v>
      </c>
      <c r="H185" s="42">
        <v>3.6</v>
      </c>
      <c r="I185" s="27" t="s">
        <v>855</v>
      </c>
      <c r="J185" s="27" t="s">
        <v>187</v>
      </c>
      <c r="K185" s="42">
        <v>0.0</v>
      </c>
      <c r="L185" s="42">
        <v>0.0</v>
      </c>
      <c r="M185" s="33">
        <v>45732.0</v>
      </c>
    </row>
    <row r="186" ht="15.75" customHeight="1">
      <c r="A186" s="25" t="s">
        <v>3343</v>
      </c>
      <c r="B186" s="25" t="s">
        <v>976</v>
      </c>
      <c r="C186" s="24">
        <v>2023.0</v>
      </c>
      <c r="D186" s="25" t="s">
        <v>3156</v>
      </c>
      <c r="E186" s="25" t="s">
        <v>3159</v>
      </c>
      <c r="F186" s="41">
        <v>2.7</v>
      </c>
      <c r="G186" s="41">
        <v>4.5</v>
      </c>
      <c r="H186" s="41">
        <v>3.6</v>
      </c>
      <c r="I186" s="25" t="s">
        <v>815</v>
      </c>
      <c r="J186" s="25" t="s">
        <v>187</v>
      </c>
      <c r="K186" s="41">
        <v>7.3</v>
      </c>
      <c r="L186" s="41">
        <v>6.1</v>
      </c>
      <c r="M186" s="30">
        <v>45356.0</v>
      </c>
    </row>
    <row r="187" ht="15.75" customHeight="1">
      <c r="A187" s="27" t="s">
        <v>3344</v>
      </c>
      <c r="B187" s="27" t="s">
        <v>976</v>
      </c>
      <c r="C187" s="26">
        <v>2024.0</v>
      </c>
      <c r="D187" s="27" t="s">
        <v>3156</v>
      </c>
      <c r="E187" s="27" t="s">
        <v>3159</v>
      </c>
      <c r="F187" s="42">
        <v>4.5</v>
      </c>
      <c r="G187" s="42">
        <v>3.0</v>
      </c>
      <c r="H187" s="42">
        <v>3.8</v>
      </c>
      <c r="I187" s="27" t="s">
        <v>815</v>
      </c>
      <c r="J187" s="27" t="s">
        <v>187</v>
      </c>
      <c r="K187" s="42">
        <v>4.5</v>
      </c>
      <c r="L187" s="42">
        <v>7.1</v>
      </c>
      <c r="M187" s="33">
        <v>45708.0</v>
      </c>
    </row>
    <row r="188" ht="15.75" customHeight="1">
      <c r="A188" s="25" t="s">
        <v>3345</v>
      </c>
      <c r="B188" s="25" t="s">
        <v>983</v>
      </c>
      <c r="C188" s="24">
        <v>2024.0</v>
      </c>
      <c r="D188" s="25" t="s">
        <v>3156</v>
      </c>
      <c r="E188" s="25" t="s">
        <v>3159</v>
      </c>
      <c r="F188" s="41">
        <v>4.5</v>
      </c>
      <c r="G188" s="41">
        <v>3.3</v>
      </c>
      <c r="H188" s="41">
        <v>3.9</v>
      </c>
      <c r="I188" s="25" t="s">
        <v>801</v>
      </c>
      <c r="J188" s="25" t="s">
        <v>187</v>
      </c>
      <c r="K188" s="41">
        <v>4.2</v>
      </c>
      <c r="L188" s="41">
        <v>5.3</v>
      </c>
      <c r="M188" s="30">
        <v>45740.0</v>
      </c>
    </row>
    <row r="189" ht="15.75" customHeight="1">
      <c r="A189" s="27" t="s">
        <v>3346</v>
      </c>
      <c r="B189" s="27" t="s">
        <v>991</v>
      </c>
      <c r="C189" s="26">
        <v>2022.0</v>
      </c>
      <c r="D189" s="27" t="s">
        <v>3156</v>
      </c>
      <c r="E189" s="27" t="s">
        <v>3159</v>
      </c>
      <c r="F189" s="42">
        <v>2.9</v>
      </c>
      <c r="G189" s="42">
        <v>2.5</v>
      </c>
      <c r="H189" s="42">
        <v>2.7</v>
      </c>
      <c r="I189" s="27" t="s">
        <v>815</v>
      </c>
      <c r="J189" s="27" t="s">
        <v>187</v>
      </c>
      <c r="K189" s="42">
        <v>4.5</v>
      </c>
      <c r="L189" s="42">
        <v>8.3</v>
      </c>
      <c r="M189" s="33">
        <v>45000.0</v>
      </c>
    </row>
    <row r="190" ht="15.75" customHeight="1">
      <c r="A190" s="25" t="s">
        <v>3347</v>
      </c>
      <c r="B190" s="25" t="s">
        <v>991</v>
      </c>
      <c r="C190" s="24">
        <v>2023.0</v>
      </c>
      <c r="D190" s="25" t="s">
        <v>3156</v>
      </c>
      <c r="E190" s="25" t="s">
        <v>3157</v>
      </c>
      <c r="F190" s="41">
        <v>4.0</v>
      </c>
      <c r="G190" s="41">
        <v>4.1</v>
      </c>
      <c r="H190" s="41">
        <v>4.0</v>
      </c>
      <c r="I190" s="25" t="s">
        <v>815</v>
      </c>
      <c r="J190" s="25" t="s">
        <v>181</v>
      </c>
      <c r="K190" s="41">
        <v>10.2</v>
      </c>
      <c r="L190" s="41">
        <v>11.9</v>
      </c>
      <c r="M190" s="30">
        <v>45355.0</v>
      </c>
    </row>
    <row r="191" ht="15.75" customHeight="1">
      <c r="A191" s="27" t="s">
        <v>3348</v>
      </c>
      <c r="B191" s="27" t="s">
        <v>991</v>
      </c>
      <c r="C191" s="26">
        <v>2024.0</v>
      </c>
      <c r="D191" s="27" t="s">
        <v>3156</v>
      </c>
      <c r="E191" s="27" t="s">
        <v>3159</v>
      </c>
      <c r="F191" s="42">
        <v>4.4</v>
      </c>
      <c r="G191" s="42">
        <v>4.6</v>
      </c>
      <c r="H191" s="42">
        <v>4.5</v>
      </c>
      <c r="I191" s="27" t="s">
        <v>815</v>
      </c>
      <c r="J191" s="27" t="s">
        <v>187</v>
      </c>
      <c r="K191" s="42">
        <v>5.1</v>
      </c>
      <c r="L191" s="42">
        <v>6.6</v>
      </c>
      <c r="M191" s="33">
        <v>45680.0</v>
      </c>
    </row>
    <row r="192" ht="15.75" customHeight="1">
      <c r="A192" s="25" t="s">
        <v>3349</v>
      </c>
      <c r="B192" s="25" t="s">
        <v>998</v>
      </c>
      <c r="C192" s="24">
        <v>2022.0</v>
      </c>
      <c r="D192" s="25" t="s">
        <v>3156</v>
      </c>
      <c r="E192" s="25" t="s">
        <v>3159</v>
      </c>
      <c r="F192" s="41">
        <v>4.7</v>
      </c>
      <c r="G192" s="41">
        <v>2.8</v>
      </c>
      <c r="H192" s="41">
        <v>3.8</v>
      </c>
      <c r="I192" s="25" t="s">
        <v>843</v>
      </c>
      <c r="J192" s="25" t="s">
        <v>187</v>
      </c>
      <c r="K192" s="41">
        <v>4.9</v>
      </c>
      <c r="L192" s="41">
        <v>11.8</v>
      </c>
      <c r="M192" s="30">
        <v>45002.0</v>
      </c>
    </row>
    <row r="193" ht="15.75" customHeight="1">
      <c r="A193" s="27" t="s">
        <v>3350</v>
      </c>
      <c r="B193" s="27" t="s">
        <v>998</v>
      </c>
      <c r="C193" s="26">
        <v>2023.0</v>
      </c>
      <c r="D193" s="27" t="s">
        <v>3156</v>
      </c>
      <c r="E193" s="27" t="s">
        <v>3159</v>
      </c>
      <c r="F193" s="42">
        <v>4.7</v>
      </c>
      <c r="G193" s="42">
        <v>4.4</v>
      </c>
      <c r="H193" s="42">
        <v>4.6</v>
      </c>
      <c r="I193" s="27" t="s">
        <v>843</v>
      </c>
      <c r="J193" s="27" t="s">
        <v>187</v>
      </c>
      <c r="K193" s="42">
        <v>6.1</v>
      </c>
      <c r="L193" s="42">
        <v>11.5</v>
      </c>
      <c r="M193" s="33">
        <v>45343.0</v>
      </c>
    </row>
    <row r="194" ht="15.75" customHeight="1">
      <c r="A194" s="25" t="s">
        <v>3351</v>
      </c>
      <c r="B194" s="25" t="s">
        <v>998</v>
      </c>
      <c r="C194" s="24">
        <v>2024.0</v>
      </c>
      <c r="D194" s="25" t="s">
        <v>3156</v>
      </c>
      <c r="E194" s="25" t="s">
        <v>3157</v>
      </c>
      <c r="F194" s="41">
        <v>3.0</v>
      </c>
      <c r="G194" s="41">
        <v>3.0</v>
      </c>
      <c r="H194" s="41">
        <v>3.0</v>
      </c>
      <c r="I194" s="25" t="s">
        <v>843</v>
      </c>
      <c r="J194" s="25" t="s">
        <v>181</v>
      </c>
      <c r="K194" s="41">
        <v>9.0</v>
      </c>
      <c r="L194" s="41">
        <v>12.4</v>
      </c>
      <c r="M194" s="30">
        <v>45695.0</v>
      </c>
    </row>
    <row r="195" ht="15.75" customHeight="1">
      <c r="A195" s="27" t="s">
        <v>3352</v>
      </c>
      <c r="B195" s="27" t="s">
        <v>1004</v>
      </c>
      <c r="C195" s="26">
        <v>2023.0</v>
      </c>
      <c r="D195" s="27" t="s">
        <v>3156</v>
      </c>
      <c r="E195" s="27" t="s">
        <v>3159</v>
      </c>
      <c r="F195" s="42">
        <v>4.5</v>
      </c>
      <c r="G195" s="42">
        <v>3.9</v>
      </c>
      <c r="H195" s="42">
        <v>4.2</v>
      </c>
      <c r="I195" s="27" t="s">
        <v>897</v>
      </c>
      <c r="J195" s="27" t="s">
        <v>187</v>
      </c>
      <c r="K195" s="42">
        <v>5.1</v>
      </c>
      <c r="L195" s="42">
        <v>5.8</v>
      </c>
      <c r="M195" s="33">
        <v>45362.0</v>
      </c>
    </row>
    <row r="196" ht="15.75" customHeight="1">
      <c r="A196" s="25" t="s">
        <v>3353</v>
      </c>
      <c r="B196" s="25" t="s">
        <v>1004</v>
      </c>
      <c r="C196" s="24">
        <v>2024.0</v>
      </c>
      <c r="D196" s="25" t="s">
        <v>3156</v>
      </c>
      <c r="E196" s="25" t="s">
        <v>3159</v>
      </c>
      <c r="F196" s="41">
        <v>4.7</v>
      </c>
      <c r="G196" s="41">
        <v>3.1</v>
      </c>
      <c r="H196" s="41">
        <v>3.9</v>
      </c>
      <c r="I196" s="25" t="s">
        <v>897</v>
      </c>
      <c r="J196" s="25" t="s">
        <v>187</v>
      </c>
      <c r="K196" s="41">
        <v>6.4</v>
      </c>
      <c r="L196" s="41">
        <v>9.7</v>
      </c>
      <c r="M196" s="30">
        <v>45725.0</v>
      </c>
    </row>
    <row r="197" ht="15.75" customHeight="1">
      <c r="A197" s="27" t="s">
        <v>3354</v>
      </c>
      <c r="B197" s="27" t="s">
        <v>1011</v>
      </c>
      <c r="C197" s="26">
        <v>2023.0</v>
      </c>
      <c r="D197" s="27" t="s">
        <v>3156</v>
      </c>
      <c r="E197" s="27" t="s">
        <v>3157</v>
      </c>
      <c r="F197" s="42">
        <v>3.4</v>
      </c>
      <c r="G197" s="42">
        <v>4.1</v>
      </c>
      <c r="H197" s="42">
        <v>3.8</v>
      </c>
      <c r="I197" s="27" t="s">
        <v>830</v>
      </c>
      <c r="J197" s="27" t="s">
        <v>187</v>
      </c>
      <c r="K197" s="42">
        <v>14.8</v>
      </c>
      <c r="L197" s="42">
        <v>16.9</v>
      </c>
      <c r="M197" s="33">
        <v>45332.0</v>
      </c>
    </row>
    <row r="198" ht="15.75" customHeight="1">
      <c r="A198" s="25" t="s">
        <v>3355</v>
      </c>
      <c r="B198" s="25" t="s">
        <v>1011</v>
      </c>
      <c r="C198" s="24">
        <v>2024.0</v>
      </c>
      <c r="D198" s="25" t="s">
        <v>3156</v>
      </c>
      <c r="E198" s="25" t="s">
        <v>3159</v>
      </c>
      <c r="F198" s="41">
        <v>3.9</v>
      </c>
      <c r="G198" s="41">
        <v>4.8</v>
      </c>
      <c r="H198" s="41">
        <v>4.3</v>
      </c>
      <c r="I198" s="25" t="s">
        <v>830</v>
      </c>
      <c r="J198" s="25" t="s">
        <v>187</v>
      </c>
      <c r="K198" s="41">
        <v>8.9</v>
      </c>
      <c r="L198" s="41">
        <v>11.2</v>
      </c>
      <c r="M198" s="30">
        <v>45684.0</v>
      </c>
    </row>
    <row r="199" ht="15.75" customHeight="1">
      <c r="A199" s="27" t="s">
        <v>3356</v>
      </c>
      <c r="B199" s="27" t="s">
        <v>1018</v>
      </c>
      <c r="C199" s="26">
        <v>2022.0</v>
      </c>
      <c r="D199" s="27" t="s">
        <v>3156</v>
      </c>
      <c r="E199" s="27" t="s">
        <v>3159</v>
      </c>
      <c r="F199" s="42">
        <v>4.4</v>
      </c>
      <c r="G199" s="42">
        <v>3.0</v>
      </c>
      <c r="H199" s="42">
        <v>3.7</v>
      </c>
      <c r="I199" s="27" t="s">
        <v>815</v>
      </c>
      <c r="J199" s="27" t="s">
        <v>187</v>
      </c>
      <c r="K199" s="42">
        <v>6.6</v>
      </c>
      <c r="L199" s="42">
        <v>8.7</v>
      </c>
      <c r="M199" s="33">
        <v>44997.0</v>
      </c>
    </row>
    <row r="200" ht="15.75" customHeight="1">
      <c r="A200" s="25" t="s">
        <v>3357</v>
      </c>
      <c r="B200" s="25" t="s">
        <v>1018</v>
      </c>
      <c r="C200" s="24">
        <v>2023.0</v>
      </c>
      <c r="D200" s="25" t="s">
        <v>3156</v>
      </c>
      <c r="E200" s="25" t="s">
        <v>3159</v>
      </c>
      <c r="F200" s="41">
        <v>4.2</v>
      </c>
      <c r="G200" s="41">
        <v>5.0</v>
      </c>
      <c r="H200" s="41">
        <v>4.6</v>
      </c>
      <c r="I200" s="25" t="s">
        <v>815</v>
      </c>
      <c r="J200" s="25" t="s">
        <v>187</v>
      </c>
      <c r="K200" s="41">
        <v>4.8</v>
      </c>
      <c r="L200" s="41">
        <v>11.0</v>
      </c>
      <c r="M200" s="30">
        <v>45356.0</v>
      </c>
    </row>
    <row r="201" ht="15.75" customHeight="1">
      <c r="A201" s="27" t="s">
        <v>3358</v>
      </c>
      <c r="B201" s="27" t="s">
        <v>1018</v>
      </c>
      <c r="C201" s="26">
        <v>2024.0</v>
      </c>
      <c r="D201" s="27" t="s">
        <v>3156</v>
      </c>
      <c r="E201" s="27" t="s">
        <v>3159</v>
      </c>
      <c r="F201" s="42">
        <v>4.9</v>
      </c>
      <c r="G201" s="42">
        <v>3.6</v>
      </c>
      <c r="H201" s="42">
        <v>4.2</v>
      </c>
      <c r="I201" s="27" t="s">
        <v>815</v>
      </c>
      <c r="J201" s="27" t="s">
        <v>187</v>
      </c>
      <c r="K201" s="42">
        <v>4.2</v>
      </c>
      <c r="L201" s="42">
        <v>7.7</v>
      </c>
      <c r="M201" s="33">
        <v>45704.0</v>
      </c>
    </row>
    <row r="202" ht="15.75" customHeight="1">
      <c r="A202" s="25" t="s">
        <v>3359</v>
      </c>
      <c r="B202" s="25" t="s">
        <v>1024</v>
      </c>
      <c r="C202" s="24">
        <v>2023.0</v>
      </c>
      <c r="D202" s="25" t="s">
        <v>3156</v>
      </c>
      <c r="E202" s="25" t="s">
        <v>3159</v>
      </c>
      <c r="F202" s="41">
        <v>2.8</v>
      </c>
      <c r="G202" s="41">
        <v>4.8</v>
      </c>
      <c r="H202" s="41">
        <v>3.8</v>
      </c>
      <c r="I202" s="25" t="s">
        <v>868</v>
      </c>
      <c r="J202" s="25" t="s">
        <v>187</v>
      </c>
      <c r="K202" s="41">
        <v>5.3</v>
      </c>
      <c r="L202" s="41">
        <v>11.5</v>
      </c>
      <c r="M202" s="30">
        <v>45293.0</v>
      </c>
    </row>
    <row r="203" ht="15.75" customHeight="1">
      <c r="A203" s="27" t="s">
        <v>3360</v>
      </c>
      <c r="B203" s="27" t="s">
        <v>1024</v>
      </c>
      <c r="C203" s="26">
        <v>2024.0</v>
      </c>
      <c r="D203" s="27" t="s">
        <v>3156</v>
      </c>
      <c r="E203" s="27" t="s">
        <v>3159</v>
      </c>
      <c r="F203" s="42">
        <v>2.9</v>
      </c>
      <c r="G203" s="42">
        <v>3.7</v>
      </c>
      <c r="H203" s="42">
        <v>3.3</v>
      </c>
      <c r="I203" s="27" t="s">
        <v>868</v>
      </c>
      <c r="J203" s="27" t="s">
        <v>187</v>
      </c>
      <c r="K203" s="42">
        <v>8.9</v>
      </c>
      <c r="L203" s="42">
        <v>7.7</v>
      </c>
      <c r="M203" s="33">
        <v>45701.0</v>
      </c>
    </row>
    <row r="204" ht="15.75" customHeight="1">
      <c r="A204" s="25" t="s">
        <v>3361</v>
      </c>
      <c r="B204" s="25" t="s">
        <v>1030</v>
      </c>
      <c r="C204" s="24">
        <v>2023.0</v>
      </c>
      <c r="D204" s="25" t="s">
        <v>3156</v>
      </c>
      <c r="E204" s="25" t="s">
        <v>3159</v>
      </c>
      <c r="F204" s="41">
        <v>3.1</v>
      </c>
      <c r="G204" s="41">
        <v>3.4</v>
      </c>
      <c r="H204" s="41">
        <v>3.2</v>
      </c>
      <c r="I204" s="25" t="s">
        <v>822</v>
      </c>
      <c r="J204" s="25" t="s">
        <v>187</v>
      </c>
      <c r="K204" s="41">
        <v>8.7</v>
      </c>
      <c r="L204" s="41">
        <v>10.1</v>
      </c>
      <c r="M204" s="30">
        <v>45356.0</v>
      </c>
    </row>
    <row r="205" ht="15.75" customHeight="1">
      <c r="A205" s="27" t="s">
        <v>3362</v>
      </c>
      <c r="B205" s="27" t="s">
        <v>1030</v>
      </c>
      <c r="C205" s="26">
        <v>2024.0</v>
      </c>
      <c r="D205" s="27" t="s">
        <v>3156</v>
      </c>
      <c r="E205" s="27" t="s">
        <v>3159</v>
      </c>
      <c r="F205" s="42">
        <v>2.9</v>
      </c>
      <c r="G205" s="42">
        <v>3.2</v>
      </c>
      <c r="H205" s="42">
        <v>3.0</v>
      </c>
      <c r="I205" s="27" t="s">
        <v>822</v>
      </c>
      <c r="J205" s="27" t="s">
        <v>187</v>
      </c>
      <c r="K205" s="42">
        <v>7.2</v>
      </c>
      <c r="L205" s="42">
        <v>10.4</v>
      </c>
      <c r="M205" s="33">
        <v>45679.0</v>
      </c>
    </row>
    <row r="206" ht="15.75" customHeight="1">
      <c r="A206" s="25" t="s">
        <v>3363</v>
      </c>
      <c r="B206" s="25" t="s">
        <v>1037</v>
      </c>
      <c r="C206" s="24">
        <v>2024.0</v>
      </c>
      <c r="D206" s="25" t="s">
        <v>3156</v>
      </c>
      <c r="E206" s="25" t="s">
        <v>3159</v>
      </c>
      <c r="F206" s="41">
        <v>4.6</v>
      </c>
      <c r="G206" s="41">
        <v>3.9</v>
      </c>
      <c r="H206" s="41">
        <v>4.2</v>
      </c>
      <c r="I206" s="25" t="s">
        <v>808</v>
      </c>
      <c r="J206" s="25" t="s">
        <v>187</v>
      </c>
      <c r="K206" s="41">
        <v>4.8</v>
      </c>
      <c r="L206" s="41">
        <v>10.0</v>
      </c>
      <c r="M206" s="30">
        <v>45670.0</v>
      </c>
    </row>
    <row r="207" ht="15.75" customHeight="1">
      <c r="A207" s="27" t="s">
        <v>3364</v>
      </c>
      <c r="B207" s="27" t="s">
        <v>1043</v>
      </c>
      <c r="C207" s="26">
        <v>2022.0</v>
      </c>
      <c r="D207" s="27" t="s">
        <v>3156</v>
      </c>
      <c r="E207" s="27" t="s">
        <v>2520</v>
      </c>
      <c r="F207" s="42">
        <v>3.1</v>
      </c>
      <c r="G207" s="42">
        <v>4.1</v>
      </c>
      <c r="H207" s="42">
        <v>3.6</v>
      </c>
      <c r="I207" s="27" t="s">
        <v>897</v>
      </c>
      <c r="J207" s="27" t="s">
        <v>187</v>
      </c>
      <c r="K207" s="42">
        <v>2.8</v>
      </c>
      <c r="L207" s="42">
        <v>1.5</v>
      </c>
      <c r="M207" s="33">
        <v>44989.0</v>
      </c>
    </row>
    <row r="208" ht="15.75" customHeight="1">
      <c r="A208" s="25" t="s">
        <v>3365</v>
      </c>
      <c r="B208" s="25" t="s">
        <v>1043</v>
      </c>
      <c r="C208" s="24">
        <v>2023.0</v>
      </c>
      <c r="D208" s="25" t="s">
        <v>3156</v>
      </c>
      <c r="E208" s="25" t="s">
        <v>3157</v>
      </c>
      <c r="F208" s="41">
        <v>4.3</v>
      </c>
      <c r="G208" s="41">
        <v>4.9</v>
      </c>
      <c r="H208" s="41">
        <v>4.6</v>
      </c>
      <c r="I208" s="25" t="s">
        <v>897</v>
      </c>
      <c r="J208" s="25" t="s">
        <v>187</v>
      </c>
      <c r="K208" s="41">
        <v>14.1</v>
      </c>
      <c r="L208" s="41">
        <v>17.4</v>
      </c>
      <c r="M208" s="30">
        <v>45319.0</v>
      </c>
    </row>
    <row r="209" ht="15.75" customHeight="1">
      <c r="A209" s="27" t="s">
        <v>3366</v>
      </c>
      <c r="B209" s="27" t="s">
        <v>1043</v>
      </c>
      <c r="C209" s="26">
        <v>2024.0</v>
      </c>
      <c r="D209" s="27" t="s">
        <v>3156</v>
      </c>
      <c r="E209" s="27" t="s">
        <v>3159</v>
      </c>
      <c r="F209" s="42">
        <v>4.6</v>
      </c>
      <c r="G209" s="42">
        <v>4.3</v>
      </c>
      <c r="H209" s="42">
        <v>4.4</v>
      </c>
      <c r="I209" s="27" t="s">
        <v>897</v>
      </c>
      <c r="J209" s="27" t="s">
        <v>187</v>
      </c>
      <c r="K209" s="42">
        <v>7.2</v>
      </c>
      <c r="L209" s="42">
        <v>6.8</v>
      </c>
      <c r="M209" s="33">
        <v>45661.0</v>
      </c>
    </row>
    <row r="210" ht="15.75" customHeight="1">
      <c r="A210" s="25" t="s">
        <v>3367</v>
      </c>
      <c r="B210" s="25" t="s">
        <v>1049</v>
      </c>
      <c r="C210" s="24">
        <v>2024.0</v>
      </c>
      <c r="D210" s="25" t="s">
        <v>3156</v>
      </c>
      <c r="E210" s="25" t="s">
        <v>3159</v>
      </c>
      <c r="F210" s="41">
        <v>3.7</v>
      </c>
      <c r="G210" s="41">
        <v>4.0</v>
      </c>
      <c r="H210" s="41">
        <v>3.9</v>
      </c>
      <c r="I210" s="25" t="s">
        <v>808</v>
      </c>
      <c r="J210" s="25" t="s">
        <v>187</v>
      </c>
      <c r="K210" s="41">
        <v>6.2</v>
      </c>
      <c r="L210" s="41">
        <v>10.8</v>
      </c>
      <c r="M210" s="30">
        <v>45743.0</v>
      </c>
    </row>
    <row r="211" ht="15.75" customHeight="1">
      <c r="A211" s="27" t="s">
        <v>3368</v>
      </c>
      <c r="B211" s="27" t="s">
        <v>1056</v>
      </c>
      <c r="C211" s="26">
        <v>2024.0</v>
      </c>
      <c r="D211" s="27" t="s">
        <v>3156</v>
      </c>
      <c r="E211" s="27" t="s">
        <v>3159</v>
      </c>
      <c r="F211" s="42">
        <v>4.0</v>
      </c>
      <c r="G211" s="42">
        <v>4.7</v>
      </c>
      <c r="H211" s="42">
        <v>4.3</v>
      </c>
      <c r="I211" s="27" t="s">
        <v>837</v>
      </c>
      <c r="J211" s="27" t="s">
        <v>187</v>
      </c>
      <c r="K211" s="42">
        <v>4.2</v>
      </c>
      <c r="L211" s="42">
        <v>9.5</v>
      </c>
      <c r="M211" s="33">
        <v>45661.0</v>
      </c>
    </row>
    <row r="212" ht="15.75" customHeight="1">
      <c r="A212" s="25" t="s">
        <v>3369</v>
      </c>
      <c r="B212" s="25" t="s">
        <v>1063</v>
      </c>
      <c r="C212" s="24">
        <v>2023.0</v>
      </c>
      <c r="D212" s="25" t="s">
        <v>3156</v>
      </c>
      <c r="E212" s="25" t="s">
        <v>3223</v>
      </c>
      <c r="F212" s="41">
        <v>3.1</v>
      </c>
      <c r="G212" s="41">
        <v>4.0</v>
      </c>
      <c r="H212" s="41">
        <v>3.5</v>
      </c>
      <c r="I212" s="25" t="s">
        <v>921</v>
      </c>
      <c r="J212" s="25" t="s">
        <v>187</v>
      </c>
      <c r="K212" s="41">
        <v>0.0</v>
      </c>
      <c r="L212" s="41">
        <v>0.0</v>
      </c>
      <c r="M212" s="30">
        <v>45350.0</v>
      </c>
    </row>
    <row r="213" ht="15.75" customHeight="1">
      <c r="A213" s="27" t="s">
        <v>3370</v>
      </c>
      <c r="B213" s="27" t="s">
        <v>1063</v>
      </c>
      <c r="C213" s="26">
        <v>2024.0</v>
      </c>
      <c r="D213" s="27" t="s">
        <v>3156</v>
      </c>
      <c r="E213" s="27" t="s">
        <v>3159</v>
      </c>
      <c r="F213" s="42">
        <v>4.7</v>
      </c>
      <c r="G213" s="42">
        <v>2.6</v>
      </c>
      <c r="H213" s="42">
        <v>3.7</v>
      </c>
      <c r="I213" s="27" t="s">
        <v>921</v>
      </c>
      <c r="J213" s="27" t="s">
        <v>187</v>
      </c>
      <c r="K213" s="42">
        <v>8.0</v>
      </c>
      <c r="L213" s="42">
        <v>11.4</v>
      </c>
      <c r="M213" s="33">
        <v>45658.0</v>
      </c>
    </row>
    <row r="214" ht="15.75" customHeight="1">
      <c r="A214" s="25" t="s">
        <v>3371</v>
      </c>
      <c r="B214" s="25" t="s">
        <v>1069</v>
      </c>
      <c r="C214" s="24">
        <v>2023.0</v>
      </c>
      <c r="D214" s="25" t="s">
        <v>3156</v>
      </c>
      <c r="E214" s="25" t="s">
        <v>3159</v>
      </c>
      <c r="F214" s="41">
        <v>3.3</v>
      </c>
      <c r="G214" s="41">
        <v>3.2</v>
      </c>
      <c r="H214" s="41">
        <v>3.2</v>
      </c>
      <c r="I214" s="25" t="s">
        <v>890</v>
      </c>
      <c r="J214" s="25" t="s">
        <v>187</v>
      </c>
      <c r="K214" s="41">
        <v>4.1</v>
      </c>
      <c r="L214" s="41">
        <v>7.5</v>
      </c>
      <c r="M214" s="30">
        <v>45330.0</v>
      </c>
    </row>
    <row r="215" ht="15.75" customHeight="1">
      <c r="A215" s="27" t="s">
        <v>3372</v>
      </c>
      <c r="B215" s="27" t="s">
        <v>1069</v>
      </c>
      <c r="C215" s="26">
        <v>2024.0</v>
      </c>
      <c r="D215" s="27" t="s">
        <v>3156</v>
      </c>
      <c r="E215" s="27" t="s">
        <v>3159</v>
      </c>
      <c r="F215" s="42">
        <v>4.5</v>
      </c>
      <c r="G215" s="42">
        <v>3.3</v>
      </c>
      <c r="H215" s="42">
        <v>3.9</v>
      </c>
      <c r="I215" s="27" t="s">
        <v>890</v>
      </c>
      <c r="J215" s="27" t="s">
        <v>187</v>
      </c>
      <c r="K215" s="42">
        <v>7.2</v>
      </c>
      <c r="L215" s="42">
        <v>8.9</v>
      </c>
      <c r="M215" s="33">
        <v>45727.0</v>
      </c>
    </row>
    <row r="216" ht="15.75" customHeight="1">
      <c r="A216" s="25" t="s">
        <v>3373</v>
      </c>
      <c r="B216" s="25" t="s">
        <v>1076</v>
      </c>
      <c r="C216" s="24">
        <v>2024.0</v>
      </c>
      <c r="D216" s="25" t="s">
        <v>3156</v>
      </c>
      <c r="E216" s="25" t="s">
        <v>3159</v>
      </c>
      <c r="F216" s="41">
        <v>4.4</v>
      </c>
      <c r="G216" s="41">
        <v>4.5</v>
      </c>
      <c r="H216" s="41">
        <v>4.5</v>
      </c>
      <c r="I216" s="25" t="s">
        <v>883</v>
      </c>
      <c r="J216" s="25" t="s">
        <v>187</v>
      </c>
      <c r="K216" s="41">
        <v>6.5</v>
      </c>
      <c r="L216" s="41">
        <v>8.8</v>
      </c>
      <c r="M216" s="30">
        <v>45668.0</v>
      </c>
    </row>
    <row r="217" ht="15.75" customHeight="1">
      <c r="A217" s="27" t="s">
        <v>3374</v>
      </c>
      <c r="B217" s="27" t="s">
        <v>1082</v>
      </c>
      <c r="C217" s="26">
        <v>2024.0</v>
      </c>
      <c r="D217" s="27" t="s">
        <v>3156</v>
      </c>
      <c r="E217" s="27" t="s">
        <v>2520</v>
      </c>
      <c r="F217" s="42">
        <v>2.8</v>
      </c>
      <c r="G217" s="42">
        <v>4.3</v>
      </c>
      <c r="H217" s="42">
        <v>3.5</v>
      </c>
      <c r="I217" s="27" t="s">
        <v>903</v>
      </c>
      <c r="J217" s="27" t="s">
        <v>187</v>
      </c>
      <c r="K217" s="42">
        <v>2.0</v>
      </c>
      <c r="L217" s="42">
        <v>1.3</v>
      </c>
      <c r="M217" s="33">
        <v>45732.0</v>
      </c>
    </row>
    <row r="218" ht="15.75" customHeight="1">
      <c r="A218" s="25" t="s">
        <v>3375</v>
      </c>
      <c r="B218" s="25" t="s">
        <v>1089</v>
      </c>
      <c r="C218" s="24">
        <v>2024.0</v>
      </c>
      <c r="D218" s="25" t="s">
        <v>3156</v>
      </c>
      <c r="E218" s="25" t="s">
        <v>3159</v>
      </c>
      <c r="F218" s="41">
        <v>4.5</v>
      </c>
      <c r="G218" s="41">
        <v>4.7</v>
      </c>
      <c r="H218" s="41">
        <v>4.6</v>
      </c>
      <c r="I218" s="25" t="s">
        <v>801</v>
      </c>
      <c r="J218" s="25" t="s">
        <v>187</v>
      </c>
      <c r="K218" s="41">
        <v>8.8</v>
      </c>
      <c r="L218" s="41">
        <v>9.1</v>
      </c>
      <c r="M218" s="30">
        <v>45737.0</v>
      </c>
    </row>
    <row r="219" ht="15.75" customHeight="1">
      <c r="A219" s="27" t="s">
        <v>3376</v>
      </c>
      <c r="B219" s="27" t="s">
        <v>1095</v>
      </c>
      <c r="C219" s="26">
        <v>2022.0</v>
      </c>
      <c r="D219" s="27" t="s">
        <v>3156</v>
      </c>
      <c r="E219" s="27" t="s">
        <v>3159</v>
      </c>
      <c r="F219" s="42">
        <v>4.4</v>
      </c>
      <c r="G219" s="42">
        <v>3.8</v>
      </c>
      <c r="H219" s="42">
        <v>4.1</v>
      </c>
      <c r="I219" s="27" t="s">
        <v>883</v>
      </c>
      <c r="J219" s="27" t="s">
        <v>187</v>
      </c>
      <c r="K219" s="42">
        <v>7.5</v>
      </c>
      <c r="L219" s="42">
        <v>9.2</v>
      </c>
      <c r="M219" s="33">
        <v>44985.0</v>
      </c>
    </row>
    <row r="220" ht="15.75" customHeight="1">
      <c r="A220" s="25" t="s">
        <v>3377</v>
      </c>
      <c r="B220" s="25" t="s">
        <v>1095</v>
      </c>
      <c r="C220" s="24">
        <v>2023.0</v>
      </c>
      <c r="D220" s="25" t="s">
        <v>3156</v>
      </c>
      <c r="E220" s="25" t="s">
        <v>3159</v>
      </c>
      <c r="F220" s="41">
        <v>4.3</v>
      </c>
      <c r="G220" s="41">
        <v>3.8</v>
      </c>
      <c r="H220" s="41">
        <v>4.0</v>
      </c>
      <c r="I220" s="25" t="s">
        <v>883</v>
      </c>
      <c r="J220" s="25" t="s">
        <v>187</v>
      </c>
      <c r="K220" s="41">
        <v>8.6</v>
      </c>
      <c r="L220" s="41">
        <v>10.7</v>
      </c>
      <c r="M220" s="30">
        <v>45342.0</v>
      </c>
    </row>
    <row r="221" ht="15.75" customHeight="1">
      <c r="A221" s="27" t="s">
        <v>3378</v>
      </c>
      <c r="B221" s="27" t="s">
        <v>1095</v>
      </c>
      <c r="C221" s="26">
        <v>2024.0</v>
      </c>
      <c r="D221" s="27" t="s">
        <v>3156</v>
      </c>
      <c r="E221" s="27" t="s">
        <v>3159</v>
      </c>
      <c r="F221" s="42">
        <v>2.7</v>
      </c>
      <c r="G221" s="42">
        <v>5.0</v>
      </c>
      <c r="H221" s="42">
        <v>3.9</v>
      </c>
      <c r="I221" s="27" t="s">
        <v>883</v>
      </c>
      <c r="J221" s="27" t="s">
        <v>187</v>
      </c>
      <c r="K221" s="42">
        <v>4.2</v>
      </c>
      <c r="L221" s="42">
        <v>6.9</v>
      </c>
      <c r="M221" s="33">
        <v>45724.0</v>
      </c>
    </row>
    <row r="222" ht="15.75" customHeight="1">
      <c r="A222" s="25" t="s">
        <v>3379</v>
      </c>
      <c r="B222" s="25" t="s">
        <v>1102</v>
      </c>
      <c r="C222" s="24">
        <v>2024.0</v>
      </c>
      <c r="D222" s="25" t="s">
        <v>3156</v>
      </c>
      <c r="E222" s="25" t="s">
        <v>3159</v>
      </c>
      <c r="F222" s="41">
        <v>3.1</v>
      </c>
      <c r="G222" s="41">
        <v>4.1</v>
      </c>
      <c r="H222" s="41">
        <v>3.6</v>
      </c>
      <c r="I222" s="25" t="s">
        <v>890</v>
      </c>
      <c r="J222" s="25" t="s">
        <v>187</v>
      </c>
      <c r="K222" s="41">
        <v>4.1</v>
      </c>
      <c r="L222" s="41">
        <v>9.3</v>
      </c>
      <c r="M222" s="30">
        <v>45706.0</v>
      </c>
    </row>
    <row r="223" ht="15.75" customHeight="1">
      <c r="A223" s="27" t="s">
        <v>3380</v>
      </c>
      <c r="B223" s="27" t="s">
        <v>1110</v>
      </c>
      <c r="C223" s="26">
        <v>2023.0</v>
      </c>
      <c r="D223" s="27" t="s">
        <v>3156</v>
      </c>
      <c r="E223" s="27" t="s">
        <v>3159</v>
      </c>
      <c r="F223" s="42">
        <v>3.9</v>
      </c>
      <c r="G223" s="42">
        <v>3.5</v>
      </c>
      <c r="H223" s="42">
        <v>3.7</v>
      </c>
      <c r="I223" s="27" t="s">
        <v>837</v>
      </c>
      <c r="J223" s="27" t="s">
        <v>187</v>
      </c>
      <c r="K223" s="42">
        <v>6.9</v>
      </c>
      <c r="L223" s="42">
        <v>11.9</v>
      </c>
      <c r="M223" s="33">
        <v>45377.0</v>
      </c>
    </row>
    <row r="224" ht="15.75" customHeight="1">
      <c r="A224" s="25" t="s">
        <v>3381</v>
      </c>
      <c r="B224" s="25" t="s">
        <v>1110</v>
      </c>
      <c r="C224" s="24">
        <v>2024.0</v>
      </c>
      <c r="D224" s="25" t="s">
        <v>3156</v>
      </c>
      <c r="E224" s="25" t="s">
        <v>3223</v>
      </c>
      <c r="F224" s="41">
        <v>4.5</v>
      </c>
      <c r="G224" s="41">
        <v>3.2</v>
      </c>
      <c r="H224" s="41">
        <v>3.9</v>
      </c>
      <c r="I224" s="25" t="s">
        <v>837</v>
      </c>
      <c r="J224" s="25" t="s">
        <v>187</v>
      </c>
      <c r="K224" s="41">
        <v>0.0</v>
      </c>
      <c r="L224" s="41">
        <v>0.0</v>
      </c>
      <c r="M224" s="30">
        <v>45668.0</v>
      </c>
    </row>
    <row r="225" ht="15.75" customHeight="1">
      <c r="A225" s="27" t="s">
        <v>3382</v>
      </c>
      <c r="B225" s="27" t="s">
        <v>1116</v>
      </c>
      <c r="C225" s="26">
        <v>2023.0</v>
      </c>
      <c r="D225" s="27" t="s">
        <v>3156</v>
      </c>
      <c r="E225" s="27" t="s">
        <v>2520</v>
      </c>
      <c r="F225" s="42">
        <v>5.0</v>
      </c>
      <c r="G225" s="42">
        <v>3.1</v>
      </c>
      <c r="H225" s="42">
        <v>4.0</v>
      </c>
      <c r="I225" s="27" t="s">
        <v>875</v>
      </c>
      <c r="J225" s="27" t="s">
        <v>187</v>
      </c>
      <c r="K225" s="42">
        <v>3.9</v>
      </c>
      <c r="L225" s="42">
        <v>2.4</v>
      </c>
      <c r="M225" s="33">
        <v>45326.0</v>
      </c>
    </row>
    <row r="226" ht="15.75" customHeight="1">
      <c r="A226" s="25" t="s">
        <v>3383</v>
      </c>
      <c r="B226" s="25" t="s">
        <v>1116</v>
      </c>
      <c r="C226" s="24">
        <v>2024.0</v>
      </c>
      <c r="D226" s="25" t="s">
        <v>3156</v>
      </c>
      <c r="E226" s="25" t="s">
        <v>2520</v>
      </c>
      <c r="F226" s="41">
        <v>4.0</v>
      </c>
      <c r="G226" s="41">
        <v>4.3</v>
      </c>
      <c r="H226" s="41">
        <v>4.2</v>
      </c>
      <c r="I226" s="25" t="s">
        <v>875</v>
      </c>
      <c r="J226" s="25" t="s">
        <v>187</v>
      </c>
      <c r="K226" s="41">
        <v>2.2</v>
      </c>
      <c r="L226" s="41">
        <v>2.9</v>
      </c>
      <c r="M226" s="30">
        <v>45672.0</v>
      </c>
    </row>
    <row r="227" ht="15.75" customHeight="1">
      <c r="A227" s="27" t="s">
        <v>3384</v>
      </c>
      <c r="B227" s="27" t="s">
        <v>1122</v>
      </c>
      <c r="C227" s="26">
        <v>2023.0</v>
      </c>
      <c r="D227" s="27" t="s">
        <v>3156</v>
      </c>
      <c r="E227" s="27" t="s">
        <v>3159</v>
      </c>
      <c r="F227" s="42">
        <v>3.7</v>
      </c>
      <c r="G227" s="42">
        <v>3.6</v>
      </c>
      <c r="H227" s="42">
        <v>3.7</v>
      </c>
      <c r="I227" s="27" t="s">
        <v>843</v>
      </c>
      <c r="J227" s="27" t="s">
        <v>187</v>
      </c>
      <c r="K227" s="42">
        <v>4.9</v>
      </c>
      <c r="L227" s="42">
        <v>5.4</v>
      </c>
      <c r="M227" s="33">
        <v>45356.0</v>
      </c>
    </row>
    <row r="228" ht="15.75" customHeight="1">
      <c r="A228" s="25" t="s">
        <v>3385</v>
      </c>
      <c r="B228" s="25" t="s">
        <v>1122</v>
      </c>
      <c r="C228" s="24">
        <v>2024.0</v>
      </c>
      <c r="D228" s="25" t="s">
        <v>3156</v>
      </c>
      <c r="E228" s="25" t="s">
        <v>3157</v>
      </c>
      <c r="F228" s="41">
        <v>3.4</v>
      </c>
      <c r="G228" s="41">
        <v>4.9</v>
      </c>
      <c r="H228" s="41">
        <v>4.2</v>
      </c>
      <c r="I228" s="25" t="s">
        <v>843</v>
      </c>
      <c r="J228" s="25" t="s">
        <v>181</v>
      </c>
      <c r="K228" s="41">
        <v>9.9</v>
      </c>
      <c r="L228" s="41">
        <v>10.4</v>
      </c>
      <c r="M228" s="30">
        <v>45670.0</v>
      </c>
    </row>
    <row r="229" ht="15.75" customHeight="1">
      <c r="A229" s="27" t="s">
        <v>3386</v>
      </c>
      <c r="B229" s="27" t="s">
        <v>1128</v>
      </c>
      <c r="C229" s="26">
        <v>2024.0</v>
      </c>
      <c r="D229" s="27" t="s">
        <v>3156</v>
      </c>
      <c r="E229" s="27" t="s">
        <v>3159</v>
      </c>
      <c r="F229" s="42">
        <v>3.6</v>
      </c>
      <c r="G229" s="42">
        <v>3.8</v>
      </c>
      <c r="H229" s="42">
        <v>3.7</v>
      </c>
      <c r="I229" s="27" t="s">
        <v>837</v>
      </c>
      <c r="J229" s="27" t="s">
        <v>187</v>
      </c>
      <c r="K229" s="42">
        <v>5.7</v>
      </c>
      <c r="L229" s="42">
        <v>11.6</v>
      </c>
      <c r="M229" s="33">
        <v>45738.0</v>
      </c>
    </row>
    <row r="230" ht="15.75" customHeight="1">
      <c r="A230" s="25" t="s">
        <v>3387</v>
      </c>
      <c r="B230" s="25" t="s">
        <v>1134</v>
      </c>
      <c r="C230" s="24">
        <v>2024.0</v>
      </c>
      <c r="D230" s="25" t="s">
        <v>3156</v>
      </c>
      <c r="E230" s="25" t="s">
        <v>3159</v>
      </c>
      <c r="F230" s="41">
        <v>4.7</v>
      </c>
      <c r="G230" s="41">
        <v>4.9</v>
      </c>
      <c r="H230" s="41">
        <v>4.8</v>
      </c>
      <c r="I230" s="25" t="s">
        <v>855</v>
      </c>
      <c r="J230" s="25" t="s">
        <v>187</v>
      </c>
      <c r="K230" s="41">
        <v>7.8</v>
      </c>
      <c r="L230" s="41">
        <v>5.5</v>
      </c>
      <c r="M230" s="30">
        <v>45712.0</v>
      </c>
    </row>
    <row r="231" ht="15.75" customHeight="1">
      <c r="A231" s="27" t="s">
        <v>3388</v>
      </c>
      <c r="B231" s="27" t="s">
        <v>1141</v>
      </c>
      <c r="C231" s="26">
        <v>2024.0</v>
      </c>
      <c r="D231" s="27" t="s">
        <v>3156</v>
      </c>
      <c r="E231" s="27" t="s">
        <v>3157</v>
      </c>
      <c r="F231" s="42">
        <v>3.0</v>
      </c>
      <c r="G231" s="42">
        <v>4.9</v>
      </c>
      <c r="H231" s="42">
        <v>4.0</v>
      </c>
      <c r="I231" s="27" t="s">
        <v>855</v>
      </c>
      <c r="J231" s="27" t="s">
        <v>187</v>
      </c>
      <c r="K231" s="42">
        <v>13.4</v>
      </c>
      <c r="L231" s="42">
        <v>10.4</v>
      </c>
      <c r="M231" s="33">
        <v>45670.0</v>
      </c>
    </row>
    <row r="232" ht="15.75" customHeight="1">
      <c r="A232" s="25" t="s">
        <v>3389</v>
      </c>
      <c r="B232" s="25" t="s">
        <v>1147</v>
      </c>
      <c r="C232" s="24">
        <v>2023.0</v>
      </c>
      <c r="D232" s="25" t="s">
        <v>3156</v>
      </c>
      <c r="E232" s="25" t="s">
        <v>3159</v>
      </c>
      <c r="F232" s="41">
        <v>4.9</v>
      </c>
      <c r="G232" s="41">
        <v>3.5</v>
      </c>
      <c r="H232" s="41">
        <v>4.2</v>
      </c>
      <c r="I232" s="25" t="s">
        <v>897</v>
      </c>
      <c r="J232" s="25" t="s">
        <v>187</v>
      </c>
      <c r="K232" s="41">
        <v>7.5</v>
      </c>
      <c r="L232" s="41">
        <v>5.7</v>
      </c>
      <c r="M232" s="30">
        <v>45365.0</v>
      </c>
    </row>
    <row r="233" ht="15.75" customHeight="1">
      <c r="A233" s="27" t="s">
        <v>3390</v>
      </c>
      <c r="B233" s="27" t="s">
        <v>1147</v>
      </c>
      <c r="C233" s="26">
        <v>2024.0</v>
      </c>
      <c r="D233" s="27" t="s">
        <v>3156</v>
      </c>
      <c r="E233" s="27" t="s">
        <v>2520</v>
      </c>
      <c r="F233" s="42">
        <v>3.7</v>
      </c>
      <c r="G233" s="42">
        <v>3.0</v>
      </c>
      <c r="H233" s="42">
        <v>3.4</v>
      </c>
      <c r="I233" s="27" t="s">
        <v>897</v>
      </c>
      <c r="J233" s="27" t="s">
        <v>187</v>
      </c>
      <c r="K233" s="42">
        <v>3.9</v>
      </c>
      <c r="L233" s="42">
        <v>3.8</v>
      </c>
      <c r="M233" s="33">
        <v>45725.0</v>
      </c>
    </row>
    <row r="234" ht="15.75" customHeight="1">
      <c r="A234" s="25" t="s">
        <v>3391</v>
      </c>
      <c r="B234" s="25" t="s">
        <v>1154</v>
      </c>
      <c r="C234" s="24">
        <v>2023.0</v>
      </c>
      <c r="D234" s="25" t="s">
        <v>3156</v>
      </c>
      <c r="E234" s="25" t="s">
        <v>3157</v>
      </c>
      <c r="F234" s="41">
        <v>4.0</v>
      </c>
      <c r="G234" s="41">
        <v>5.0</v>
      </c>
      <c r="H234" s="41">
        <v>4.5</v>
      </c>
      <c r="I234" s="25" t="s">
        <v>830</v>
      </c>
      <c r="J234" s="25" t="s">
        <v>187</v>
      </c>
      <c r="K234" s="41">
        <v>8.4</v>
      </c>
      <c r="L234" s="41">
        <v>24.5</v>
      </c>
      <c r="M234" s="30">
        <v>45317.0</v>
      </c>
    </row>
    <row r="235" ht="15.75" customHeight="1">
      <c r="A235" s="27" t="s">
        <v>3392</v>
      </c>
      <c r="B235" s="27" t="s">
        <v>1154</v>
      </c>
      <c r="C235" s="26">
        <v>2024.0</v>
      </c>
      <c r="D235" s="27" t="s">
        <v>3156</v>
      </c>
      <c r="E235" s="27" t="s">
        <v>2520</v>
      </c>
      <c r="F235" s="42">
        <v>3.9</v>
      </c>
      <c r="G235" s="42">
        <v>4.6</v>
      </c>
      <c r="H235" s="42">
        <v>4.2</v>
      </c>
      <c r="I235" s="27" t="s">
        <v>830</v>
      </c>
      <c r="J235" s="27" t="s">
        <v>187</v>
      </c>
      <c r="K235" s="42">
        <v>2.5</v>
      </c>
      <c r="L235" s="42">
        <v>1.7</v>
      </c>
      <c r="M235" s="33">
        <v>45721.0</v>
      </c>
    </row>
    <row r="236" ht="15.75" customHeight="1">
      <c r="A236" s="25" t="s">
        <v>3393</v>
      </c>
      <c r="B236" s="25" t="s">
        <v>1160</v>
      </c>
      <c r="C236" s="24">
        <v>2023.0</v>
      </c>
      <c r="D236" s="25" t="s">
        <v>3156</v>
      </c>
      <c r="E236" s="25" t="s">
        <v>3159</v>
      </c>
      <c r="F236" s="41">
        <v>3.9</v>
      </c>
      <c r="G236" s="41">
        <v>4.7</v>
      </c>
      <c r="H236" s="41">
        <v>4.3</v>
      </c>
      <c r="I236" s="25" t="s">
        <v>808</v>
      </c>
      <c r="J236" s="25" t="s">
        <v>187</v>
      </c>
      <c r="K236" s="41">
        <v>8.4</v>
      </c>
      <c r="L236" s="41">
        <v>10.7</v>
      </c>
      <c r="M236" s="30">
        <v>45309.0</v>
      </c>
    </row>
    <row r="237" ht="15.75" customHeight="1">
      <c r="A237" s="27" t="s">
        <v>3394</v>
      </c>
      <c r="B237" s="27" t="s">
        <v>1160</v>
      </c>
      <c r="C237" s="26">
        <v>2024.0</v>
      </c>
      <c r="D237" s="27" t="s">
        <v>3156</v>
      </c>
      <c r="E237" s="27" t="s">
        <v>2520</v>
      </c>
      <c r="F237" s="42">
        <v>4.5</v>
      </c>
      <c r="G237" s="42">
        <v>2.8</v>
      </c>
      <c r="H237" s="42">
        <v>3.6</v>
      </c>
      <c r="I237" s="27" t="s">
        <v>808</v>
      </c>
      <c r="J237" s="27" t="s">
        <v>187</v>
      </c>
      <c r="K237" s="42">
        <v>0.4</v>
      </c>
      <c r="L237" s="42">
        <v>0.8</v>
      </c>
      <c r="M237" s="33">
        <v>45673.0</v>
      </c>
    </row>
    <row r="238" ht="15.75" customHeight="1">
      <c r="A238" s="25" t="s">
        <v>3395</v>
      </c>
      <c r="B238" s="25" t="s">
        <v>1167</v>
      </c>
      <c r="C238" s="24">
        <v>2023.0</v>
      </c>
      <c r="D238" s="25" t="s">
        <v>3156</v>
      </c>
      <c r="E238" s="25" t="s">
        <v>3157</v>
      </c>
      <c r="F238" s="41">
        <v>2.9</v>
      </c>
      <c r="G238" s="41">
        <v>4.0</v>
      </c>
      <c r="H238" s="41">
        <v>3.5</v>
      </c>
      <c r="I238" s="25" t="s">
        <v>928</v>
      </c>
      <c r="J238" s="25" t="s">
        <v>181</v>
      </c>
      <c r="K238" s="41">
        <v>10.4</v>
      </c>
      <c r="L238" s="41">
        <v>22.5</v>
      </c>
      <c r="M238" s="30">
        <v>45302.0</v>
      </c>
    </row>
    <row r="239" ht="15.75" customHeight="1">
      <c r="A239" s="27" t="s">
        <v>3396</v>
      </c>
      <c r="B239" s="27" t="s">
        <v>1167</v>
      </c>
      <c r="C239" s="26">
        <v>2024.0</v>
      </c>
      <c r="D239" s="27" t="s">
        <v>3156</v>
      </c>
      <c r="E239" s="27" t="s">
        <v>3159</v>
      </c>
      <c r="F239" s="42">
        <v>2.9</v>
      </c>
      <c r="G239" s="42">
        <v>4.9</v>
      </c>
      <c r="H239" s="42">
        <v>3.9</v>
      </c>
      <c r="I239" s="27" t="s">
        <v>928</v>
      </c>
      <c r="J239" s="27" t="s">
        <v>187</v>
      </c>
      <c r="K239" s="42">
        <v>8.0</v>
      </c>
      <c r="L239" s="42">
        <v>11.9</v>
      </c>
      <c r="M239" s="33">
        <v>45739.0</v>
      </c>
    </row>
    <row r="240" ht="15.75" customHeight="1">
      <c r="A240" s="25" t="s">
        <v>3397</v>
      </c>
      <c r="B240" s="25" t="s">
        <v>1174</v>
      </c>
      <c r="C240" s="24">
        <v>2023.0</v>
      </c>
      <c r="D240" s="25" t="s">
        <v>3156</v>
      </c>
      <c r="E240" s="25" t="s">
        <v>3159</v>
      </c>
      <c r="F240" s="41">
        <v>4.0</v>
      </c>
      <c r="G240" s="41">
        <v>4.6</v>
      </c>
      <c r="H240" s="41">
        <v>4.3</v>
      </c>
      <c r="I240" s="25" t="s">
        <v>928</v>
      </c>
      <c r="J240" s="25" t="s">
        <v>187</v>
      </c>
      <c r="K240" s="41">
        <v>7.3</v>
      </c>
      <c r="L240" s="41">
        <v>9.9</v>
      </c>
      <c r="M240" s="30">
        <v>45372.0</v>
      </c>
    </row>
    <row r="241" ht="15.75" customHeight="1">
      <c r="A241" s="27" t="s">
        <v>3398</v>
      </c>
      <c r="B241" s="27" t="s">
        <v>1174</v>
      </c>
      <c r="C241" s="26">
        <v>2024.0</v>
      </c>
      <c r="D241" s="27" t="s">
        <v>3156</v>
      </c>
      <c r="E241" s="27" t="s">
        <v>3159</v>
      </c>
      <c r="F241" s="42">
        <v>3.3</v>
      </c>
      <c r="G241" s="42">
        <v>3.6</v>
      </c>
      <c r="H241" s="42">
        <v>3.5</v>
      </c>
      <c r="I241" s="27" t="s">
        <v>928</v>
      </c>
      <c r="J241" s="27" t="s">
        <v>187</v>
      </c>
      <c r="K241" s="42">
        <v>8.7</v>
      </c>
      <c r="L241" s="42">
        <v>5.6</v>
      </c>
      <c r="M241" s="33">
        <v>45668.0</v>
      </c>
    </row>
    <row r="242" ht="15.75" customHeight="1">
      <c r="A242" s="25" t="s">
        <v>3399</v>
      </c>
      <c r="B242" s="25" t="s">
        <v>1180</v>
      </c>
      <c r="C242" s="24">
        <v>2023.0</v>
      </c>
      <c r="D242" s="25" t="s">
        <v>3156</v>
      </c>
      <c r="E242" s="25" t="s">
        <v>3159</v>
      </c>
      <c r="F242" s="41">
        <v>4.0</v>
      </c>
      <c r="G242" s="41">
        <v>3.3</v>
      </c>
      <c r="H242" s="41">
        <v>3.6</v>
      </c>
      <c r="I242" s="25" t="s">
        <v>928</v>
      </c>
      <c r="J242" s="25" t="s">
        <v>187</v>
      </c>
      <c r="K242" s="41">
        <v>7.9</v>
      </c>
      <c r="L242" s="41">
        <v>8.7</v>
      </c>
      <c r="M242" s="30">
        <v>45301.0</v>
      </c>
    </row>
    <row r="243" ht="15.75" customHeight="1">
      <c r="A243" s="27" t="s">
        <v>3400</v>
      </c>
      <c r="B243" s="27" t="s">
        <v>1180</v>
      </c>
      <c r="C243" s="26">
        <v>2024.0</v>
      </c>
      <c r="D243" s="27" t="s">
        <v>3156</v>
      </c>
      <c r="E243" s="27" t="s">
        <v>2520</v>
      </c>
      <c r="F243" s="42">
        <v>4.4</v>
      </c>
      <c r="G243" s="42">
        <v>3.9</v>
      </c>
      <c r="H243" s="42">
        <v>4.2</v>
      </c>
      <c r="I243" s="27" t="s">
        <v>928</v>
      </c>
      <c r="J243" s="27" t="s">
        <v>187</v>
      </c>
      <c r="K243" s="42">
        <v>0.2</v>
      </c>
      <c r="L243" s="42">
        <v>1.9</v>
      </c>
      <c r="M243" s="33">
        <v>45706.0</v>
      </c>
    </row>
    <row r="244" ht="15.75" customHeight="1">
      <c r="A244" s="25" t="s">
        <v>3401</v>
      </c>
      <c r="B244" s="25" t="s">
        <v>1187</v>
      </c>
      <c r="C244" s="24">
        <v>2024.0</v>
      </c>
      <c r="D244" s="25" t="s">
        <v>3156</v>
      </c>
      <c r="E244" s="25" t="s">
        <v>3157</v>
      </c>
      <c r="F244" s="41">
        <v>4.6</v>
      </c>
      <c r="G244" s="41">
        <v>4.7</v>
      </c>
      <c r="H244" s="41">
        <v>4.7</v>
      </c>
      <c r="I244" s="25" t="s">
        <v>849</v>
      </c>
      <c r="J244" s="25" t="s">
        <v>187</v>
      </c>
      <c r="K244" s="41">
        <v>13.2</v>
      </c>
      <c r="L244" s="41">
        <v>15.6</v>
      </c>
      <c r="M244" s="30">
        <v>45665.0</v>
      </c>
    </row>
    <row r="245" ht="15.75" customHeight="1">
      <c r="A245" s="27" t="s">
        <v>3402</v>
      </c>
      <c r="B245" s="27" t="s">
        <v>1193</v>
      </c>
      <c r="C245" s="26">
        <v>2023.0</v>
      </c>
      <c r="D245" s="27" t="s">
        <v>3156</v>
      </c>
      <c r="E245" s="27" t="s">
        <v>3159</v>
      </c>
      <c r="F245" s="42">
        <v>2.7</v>
      </c>
      <c r="G245" s="42">
        <v>3.0</v>
      </c>
      <c r="H245" s="42">
        <v>2.9</v>
      </c>
      <c r="I245" s="27" t="s">
        <v>862</v>
      </c>
      <c r="J245" s="27" t="s">
        <v>187</v>
      </c>
      <c r="K245" s="42">
        <v>7.2</v>
      </c>
      <c r="L245" s="42">
        <v>6.4</v>
      </c>
      <c r="M245" s="33">
        <v>45323.0</v>
      </c>
    </row>
    <row r="246" ht="15.75" customHeight="1">
      <c r="A246" s="25" t="s">
        <v>3403</v>
      </c>
      <c r="B246" s="25" t="s">
        <v>1193</v>
      </c>
      <c r="C246" s="24">
        <v>2024.0</v>
      </c>
      <c r="D246" s="25" t="s">
        <v>3156</v>
      </c>
      <c r="E246" s="25" t="s">
        <v>2520</v>
      </c>
      <c r="F246" s="41">
        <v>4.1</v>
      </c>
      <c r="G246" s="41">
        <v>4.8</v>
      </c>
      <c r="H246" s="41">
        <v>4.4</v>
      </c>
      <c r="I246" s="25" t="s">
        <v>862</v>
      </c>
      <c r="J246" s="25" t="s">
        <v>187</v>
      </c>
      <c r="K246" s="41">
        <v>1.6</v>
      </c>
      <c r="L246" s="41">
        <v>2.0</v>
      </c>
      <c r="M246" s="30">
        <v>45662.0</v>
      </c>
    </row>
    <row r="247" ht="15.75" customHeight="1">
      <c r="A247" s="27" t="s">
        <v>3404</v>
      </c>
      <c r="B247" s="27" t="s">
        <v>1200</v>
      </c>
      <c r="C247" s="26">
        <v>2023.0</v>
      </c>
      <c r="D247" s="27" t="s">
        <v>3156</v>
      </c>
      <c r="E247" s="27" t="s">
        <v>3159</v>
      </c>
      <c r="F247" s="42">
        <v>4.1</v>
      </c>
      <c r="G247" s="42">
        <v>3.1</v>
      </c>
      <c r="H247" s="42">
        <v>3.6</v>
      </c>
      <c r="I247" s="27" t="s">
        <v>903</v>
      </c>
      <c r="J247" s="27" t="s">
        <v>187</v>
      </c>
      <c r="K247" s="42">
        <v>7.4</v>
      </c>
      <c r="L247" s="42">
        <v>7.2</v>
      </c>
      <c r="M247" s="33">
        <v>45375.0</v>
      </c>
    </row>
    <row r="248" ht="15.75" customHeight="1">
      <c r="A248" s="25" t="s">
        <v>3405</v>
      </c>
      <c r="B248" s="25" t="s">
        <v>1200</v>
      </c>
      <c r="C248" s="24">
        <v>2024.0</v>
      </c>
      <c r="D248" s="25" t="s">
        <v>3156</v>
      </c>
      <c r="E248" s="25" t="s">
        <v>2520</v>
      </c>
      <c r="F248" s="41">
        <v>3.5</v>
      </c>
      <c r="G248" s="41">
        <v>2.5</v>
      </c>
      <c r="H248" s="41">
        <v>3.0</v>
      </c>
      <c r="I248" s="25" t="s">
        <v>903</v>
      </c>
      <c r="J248" s="25" t="s">
        <v>187</v>
      </c>
      <c r="K248" s="41">
        <v>3.4</v>
      </c>
      <c r="L248" s="41">
        <v>1.3</v>
      </c>
      <c r="M248" s="30">
        <v>45678.0</v>
      </c>
    </row>
    <row r="249" ht="15.75" customHeight="1">
      <c r="A249" s="27" t="s">
        <v>3406</v>
      </c>
      <c r="B249" s="27" t="s">
        <v>1207</v>
      </c>
      <c r="C249" s="26">
        <v>2024.0</v>
      </c>
      <c r="D249" s="27" t="s">
        <v>3156</v>
      </c>
      <c r="E249" s="27" t="s">
        <v>3159</v>
      </c>
      <c r="F249" s="42">
        <v>2.6</v>
      </c>
      <c r="G249" s="42">
        <v>4.4</v>
      </c>
      <c r="H249" s="42">
        <v>3.5</v>
      </c>
      <c r="I249" s="27" t="s">
        <v>890</v>
      </c>
      <c r="J249" s="27" t="s">
        <v>187</v>
      </c>
      <c r="K249" s="42">
        <v>7.4</v>
      </c>
      <c r="L249" s="42">
        <v>6.1</v>
      </c>
      <c r="M249" s="33">
        <v>45663.0</v>
      </c>
    </row>
    <row r="250" ht="15.75" customHeight="1">
      <c r="A250" s="25" t="s">
        <v>3407</v>
      </c>
      <c r="B250" s="25" t="s">
        <v>1213</v>
      </c>
      <c r="C250" s="24">
        <v>2023.0</v>
      </c>
      <c r="D250" s="25" t="s">
        <v>3156</v>
      </c>
      <c r="E250" s="25" t="s">
        <v>3159</v>
      </c>
      <c r="F250" s="41">
        <v>2.9</v>
      </c>
      <c r="G250" s="41">
        <v>4.4</v>
      </c>
      <c r="H250" s="41">
        <v>3.7</v>
      </c>
      <c r="I250" s="25" t="s">
        <v>915</v>
      </c>
      <c r="J250" s="25" t="s">
        <v>187</v>
      </c>
      <c r="K250" s="41">
        <v>7.6</v>
      </c>
      <c r="L250" s="41">
        <v>7.0</v>
      </c>
      <c r="M250" s="30">
        <v>45326.0</v>
      </c>
    </row>
    <row r="251" ht="15.75" customHeight="1">
      <c r="A251" s="27" t="s">
        <v>3408</v>
      </c>
      <c r="B251" s="27" t="s">
        <v>1213</v>
      </c>
      <c r="C251" s="26">
        <v>2024.0</v>
      </c>
      <c r="D251" s="27" t="s">
        <v>3156</v>
      </c>
      <c r="E251" s="27" t="s">
        <v>3159</v>
      </c>
      <c r="F251" s="42">
        <v>3.5</v>
      </c>
      <c r="G251" s="42">
        <v>4.7</v>
      </c>
      <c r="H251" s="42">
        <v>4.1</v>
      </c>
      <c r="I251" s="27" t="s">
        <v>915</v>
      </c>
      <c r="J251" s="27" t="s">
        <v>187</v>
      </c>
      <c r="K251" s="42">
        <v>4.4</v>
      </c>
      <c r="L251" s="42">
        <v>8.6</v>
      </c>
      <c r="M251" s="33">
        <v>45692.0</v>
      </c>
    </row>
    <row r="252" ht="15.75" customHeight="1">
      <c r="A252" s="25" t="s">
        <v>3409</v>
      </c>
      <c r="B252" s="25" t="s">
        <v>1219</v>
      </c>
      <c r="C252" s="24">
        <v>2023.0</v>
      </c>
      <c r="D252" s="25" t="s">
        <v>3156</v>
      </c>
      <c r="E252" s="25" t="s">
        <v>3157</v>
      </c>
      <c r="F252" s="41">
        <v>2.6</v>
      </c>
      <c r="G252" s="41">
        <v>3.5</v>
      </c>
      <c r="H252" s="41">
        <v>3.0</v>
      </c>
      <c r="I252" s="25" t="s">
        <v>903</v>
      </c>
      <c r="J252" s="25" t="s">
        <v>187</v>
      </c>
      <c r="K252" s="41">
        <v>8.6</v>
      </c>
      <c r="L252" s="41">
        <v>16.5</v>
      </c>
      <c r="M252" s="30">
        <v>45313.0</v>
      </c>
    </row>
    <row r="253" ht="15.75" customHeight="1">
      <c r="A253" s="27" t="s">
        <v>3410</v>
      </c>
      <c r="B253" s="27" t="s">
        <v>1219</v>
      </c>
      <c r="C253" s="26">
        <v>2024.0</v>
      </c>
      <c r="D253" s="27" t="s">
        <v>3156</v>
      </c>
      <c r="E253" s="27" t="s">
        <v>2520</v>
      </c>
      <c r="F253" s="42">
        <v>4.4</v>
      </c>
      <c r="G253" s="42">
        <v>3.0</v>
      </c>
      <c r="H253" s="42">
        <v>3.7</v>
      </c>
      <c r="I253" s="27" t="s">
        <v>903</v>
      </c>
      <c r="J253" s="27" t="s">
        <v>187</v>
      </c>
      <c r="K253" s="42">
        <v>2.3</v>
      </c>
      <c r="L253" s="42">
        <v>4.8</v>
      </c>
      <c r="M253" s="33">
        <v>45669.0</v>
      </c>
    </row>
    <row r="254" ht="15.75" customHeight="1">
      <c r="A254" s="25" t="s">
        <v>3411</v>
      </c>
      <c r="B254" s="25" t="s">
        <v>1225</v>
      </c>
      <c r="C254" s="24">
        <v>2023.0</v>
      </c>
      <c r="D254" s="25" t="s">
        <v>3156</v>
      </c>
      <c r="E254" s="25" t="s">
        <v>3159</v>
      </c>
      <c r="F254" s="41">
        <v>4.8</v>
      </c>
      <c r="G254" s="41">
        <v>2.6</v>
      </c>
      <c r="H254" s="41">
        <v>3.7</v>
      </c>
      <c r="I254" s="25" t="s">
        <v>808</v>
      </c>
      <c r="J254" s="25" t="s">
        <v>187</v>
      </c>
      <c r="K254" s="41">
        <v>8.7</v>
      </c>
      <c r="L254" s="41">
        <v>9.4</v>
      </c>
      <c r="M254" s="30">
        <v>45366.0</v>
      </c>
    </row>
    <row r="255" ht="15.75" customHeight="1">
      <c r="A255" s="27" t="s">
        <v>3412</v>
      </c>
      <c r="B255" s="27" t="s">
        <v>1225</v>
      </c>
      <c r="C255" s="26">
        <v>2024.0</v>
      </c>
      <c r="D255" s="27" t="s">
        <v>3156</v>
      </c>
      <c r="E255" s="27" t="s">
        <v>3157</v>
      </c>
      <c r="F255" s="42">
        <v>3.6</v>
      </c>
      <c r="G255" s="42">
        <v>4.6</v>
      </c>
      <c r="H255" s="42">
        <v>4.1</v>
      </c>
      <c r="I255" s="27" t="s">
        <v>808</v>
      </c>
      <c r="J255" s="27" t="s">
        <v>187</v>
      </c>
      <c r="K255" s="42">
        <v>12.2</v>
      </c>
      <c r="L255" s="42">
        <v>18.2</v>
      </c>
      <c r="M255" s="33">
        <v>45734.0</v>
      </c>
    </row>
    <row r="256" ht="15.75" customHeight="1">
      <c r="A256" s="25" t="s">
        <v>3413</v>
      </c>
      <c r="B256" s="25" t="s">
        <v>1231</v>
      </c>
      <c r="C256" s="24">
        <v>2023.0</v>
      </c>
      <c r="D256" s="25" t="s">
        <v>3156</v>
      </c>
      <c r="E256" s="25" t="s">
        <v>3157</v>
      </c>
      <c r="F256" s="41">
        <v>4.3</v>
      </c>
      <c r="G256" s="41">
        <v>4.3</v>
      </c>
      <c r="H256" s="41">
        <v>4.3</v>
      </c>
      <c r="I256" s="25" t="s">
        <v>815</v>
      </c>
      <c r="J256" s="25" t="s">
        <v>187</v>
      </c>
      <c r="K256" s="41">
        <v>10.3</v>
      </c>
      <c r="L256" s="41">
        <v>20.3</v>
      </c>
      <c r="M256" s="30">
        <v>45347.0</v>
      </c>
    </row>
    <row r="257" ht="15.75" customHeight="1">
      <c r="A257" s="27" t="s">
        <v>3414</v>
      </c>
      <c r="B257" s="27" t="s">
        <v>1231</v>
      </c>
      <c r="C257" s="26">
        <v>2024.0</v>
      </c>
      <c r="D257" s="27" t="s">
        <v>3156</v>
      </c>
      <c r="E257" s="27" t="s">
        <v>3159</v>
      </c>
      <c r="F257" s="42">
        <v>4.6</v>
      </c>
      <c r="G257" s="42">
        <v>4.4</v>
      </c>
      <c r="H257" s="42">
        <v>4.5</v>
      </c>
      <c r="I257" s="27" t="s">
        <v>815</v>
      </c>
      <c r="J257" s="27" t="s">
        <v>187</v>
      </c>
      <c r="K257" s="42">
        <v>6.7</v>
      </c>
      <c r="L257" s="42">
        <v>8.3</v>
      </c>
      <c r="M257" s="33">
        <v>45698.0</v>
      </c>
    </row>
    <row r="258" ht="15.75" customHeight="1">
      <c r="A258" s="25" t="s">
        <v>3415</v>
      </c>
      <c r="B258" s="25" t="s">
        <v>1237</v>
      </c>
      <c r="C258" s="24">
        <v>2023.0</v>
      </c>
      <c r="D258" s="25" t="s">
        <v>3156</v>
      </c>
      <c r="E258" s="25" t="s">
        <v>3159</v>
      </c>
      <c r="F258" s="41">
        <v>3.5</v>
      </c>
      <c r="G258" s="41">
        <v>4.8</v>
      </c>
      <c r="H258" s="41">
        <v>4.2</v>
      </c>
      <c r="I258" s="25" t="s">
        <v>855</v>
      </c>
      <c r="J258" s="25" t="s">
        <v>187</v>
      </c>
      <c r="K258" s="41">
        <v>6.5</v>
      </c>
      <c r="L258" s="41">
        <v>9.5</v>
      </c>
      <c r="M258" s="30">
        <v>45306.0</v>
      </c>
    </row>
    <row r="259" ht="15.75" customHeight="1">
      <c r="A259" s="27" t="s">
        <v>3416</v>
      </c>
      <c r="B259" s="27" t="s">
        <v>1237</v>
      </c>
      <c r="C259" s="26">
        <v>2024.0</v>
      </c>
      <c r="D259" s="27" t="s">
        <v>3156</v>
      </c>
      <c r="E259" s="27" t="s">
        <v>3159</v>
      </c>
      <c r="F259" s="42">
        <v>3.4</v>
      </c>
      <c r="G259" s="42">
        <v>2.9</v>
      </c>
      <c r="H259" s="42">
        <v>3.1</v>
      </c>
      <c r="I259" s="27" t="s">
        <v>855</v>
      </c>
      <c r="J259" s="27" t="s">
        <v>187</v>
      </c>
      <c r="K259" s="42">
        <v>4.9</v>
      </c>
      <c r="L259" s="42">
        <v>11.2</v>
      </c>
      <c r="M259" s="33">
        <v>45671.0</v>
      </c>
    </row>
    <row r="260" ht="15.75" customHeight="1">
      <c r="A260" s="25" t="s">
        <v>3417</v>
      </c>
      <c r="B260" s="25" t="s">
        <v>1243</v>
      </c>
      <c r="C260" s="24">
        <v>2024.0</v>
      </c>
      <c r="D260" s="25" t="s">
        <v>3156</v>
      </c>
      <c r="E260" s="25" t="s">
        <v>2520</v>
      </c>
      <c r="F260" s="41">
        <v>2.9</v>
      </c>
      <c r="G260" s="41">
        <v>3.6</v>
      </c>
      <c r="H260" s="41">
        <v>3.2</v>
      </c>
      <c r="I260" s="25" t="s">
        <v>883</v>
      </c>
      <c r="J260" s="25" t="s">
        <v>187</v>
      </c>
      <c r="K260" s="41">
        <v>0.9</v>
      </c>
      <c r="L260" s="41">
        <v>1.8</v>
      </c>
      <c r="M260" s="30">
        <v>45702.0</v>
      </c>
    </row>
    <row r="261" ht="15.75" customHeight="1">
      <c r="A261" s="27" t="s">
        <v>3418</v>
      </c>
      <c r="B261" s="27" t="s">
        <v>1250</v>
      </c>
      <c r="C261" s="26">
        <v>2023.0</v>
      </c>
      <c r="D261" s="27" t="s">
        <v>3156</v>
      </c>
      <c r="E261" s="27" t="s">
        <v>2520</v>
      </c>
      <c r="F261" s="42">
        <v>3.7</v>
      </c>
      <c r="G261" s="42">
        <v>3.6</v>
      </c>
      <c r="H261" s="42">
        <v>3.7</v>
      </c>
      <c r="I261" s="27" t="s">
        <v>830</v>
      </c>
      <c r="J261" s="27" t="s">
        <v>187</v>
      </c>
      <c r="K261" s="42">
        <v>1.4</v>
      </c>
      <c r="L261" s="42">
        <v>2.6</v>
      </c>
      <c r="M261" s="33">
        <v>45298.0</v>
      </c>
    </row>
    <row r="262" ht="15.75" customHeight="1">
      <c r="A262" s="25" t="s">
        <v>3419</v>
      </c>
      <c r="B262" s="25" t="s">
        <v>1250</v>
      </c>
      <c r="C262" s="24">
        <v>2024.0</v>
      </c>
      <c r="D262" s="25" t="s">
        <v>3156</v>
      </c>
      <c r="E262" s="25" t="s">
        <v>3159</v>
      </c>
      <c r="F262" s="41">
        <v>3.9</v>
      </c>
      <c r="G262" s="41">
        <v>4.9</v>
      </c>
      <c r="H262" s="41">
        <v>4.4</v>
      </c>
      <c r="I262" s="25" t="s">
        <v>830</v>
      </c>
      <c r="J262" s="25" t="s">
        <v>187</v>
      </c>
      <c r="K262" s="41">
        <v>7.9</v>
      </c>
      <c r="L262" s="41">
        <v>11.0</v>
      </c>
      <c r="M262" s="30">
        <v>45709.0</v>
      </c>
    </row>
    <row r="263" ht="15.75" customHeight="1">
      <c r="A263" s="27" t="s">
        <v>3420</v>
      </c>
      <c r="B263" s="27" t="s">
        <v>1256</v>
      </c>
      <c r="C263" s="26">
        <v>2023.0</v>
      </c>
      <c r="D263" s="27" t="s">
        <v>3156</v>
      </c>
      <c r="E263" s="27" t="s">
        <v>3159</v>
      </c>
      <c r="F263" s="42">
        <v>3.5</v>
      </c>
      <c r="G263" s="42">
        <v>3.7</v>
      </c>
      <c r="H263" s="42">
        <v>3.6</v>
      </c>
      <c r="I263" s="27" t="s">
        <v>890</v>
      </c>
      <c r="J263" s="27" t="s">
        <v>187</v>
      </c>
      <c r="K263" s="42">
        <v>6.3</v>
      </c>
      <c r="L263" s="42">
        <v>11.1</v>
      </c>
      <c r="M263" s="33">
        <v>45298.0</v>
      </c>
    </row>
    <row r="264" ht="15.75" customHeight="1">
      <c r="A264" s="25" t="s">
        <v>3421</v>
      </c>
      <c r="B264" s="25" t="s">
        <v>1256</v>
      </c>
      <c r="C264" s="24">
        <v>2024.0</v>
      </c>
      <c r="D264" s="25" t="s">
        <v>3156</v>
      </c>
      <c r="E264" s="25" t="s">
        <v>3159</v>
      </c>
      <c r="F264" s="41">
        <v>4.7</v>
      </c>
      <c r="G264" s="41">
        <v>4.1</v>
      </c>
      <c r="H264" s="41">
        <v>4.4</v>
      </c>
      <c r="I264" s="25" t="s">
        <v>890</v>
      </c>
      <c r="J264" s="25" t="s">
        <v>187</v>
      </c>
      <c r="K264" s="41">
        <v>6.2</v>
      </c>
      <c r="L264" s="41">
        <v>6.4</v>
      </c>
      <c r="M264" s="30">
        <v>45666.0</v>
      </c>
    </row>
    <row r="265" ht="15.75" customHeight="1">
      <c r="A265" s="27" t="s">
        <v>3422</v>
      </c>
      <c r="B265" s="27" t="s">
        <v>1262</v>
      </c>
      <c r="C265" s="26">
        <v>2024.0</v>
      </c>
      <c r="D265" s="27" t="s">
        <v>3156</v>
      </c>
      <c r="E265" s="27" t="s">
        <v>3223</v>
      </c>
      <c r="F265" s="42">
        <v>4.2</v>
      </c>
      <c r="G265" s="42">
        <v>4.4</v>
      </c>
      <c r="H265" s="42">
        <v>4.3</v>
      </c>
      <c r="I265" s="27" t="s">
        <v>843</v>
      </c>
      <c r="J265" s="27" t="s">
        <v>187</v>
      </c>
      <c r="K265" s="42">
        <v>0.0</v>
      </c>
      <c r="L265" s="42">
        <v>0.0</v>
      </c>
      <c r="M265" s="33">
        <v>45721.0</v>
      </c>
    </row>
    <row r="266" ht="15.75" customHeight="1">
      <c r="A266" s="25" t="s">
        <v>3423</v>
      </c>
      <c r="B266" s="25" t="s">
        <v>1268</v>
      </c>
      <c r="C266" s="24">
        <v>2023.0</v>
      </c>
      <c r="D266" s="25" t="s">
        <v>3156</v>
      </c>
      <c r="E266" s="25" t="s">
        <v>3159</v>
      </c>
      <c r="F266" s="41">
        <v>3.7</v>
      </c>
      <c r="G266" s="41">
        <v>4.0</v>
      </c>
      <c r="H266" s="41">
        <v>3.9</v>
      </c>
      <c r="I266" s="25" t="s">
        <v>909</v>
      </c>
      <c r="J266" s="25" t="s">
        <v>187</v>
      </c>
      <c r="K266" s="41">
        <v>6.7</v>
      </c>
      <c r="L266" s="41">
        <v>5.7</v>
      </c>
      <c r="M266" s="30">
        <v>45292.0</v>
      </c>
    </row>
    <row r="267" ht="15.75" customHeight="1">
      <c r="A267" s="27" t="s">
        <v>3424</v>
      </c>
      <c r="B267" s="27" t="s">
        <v>1268</v>
      </c>
      <c r="C267" s="26">
        <v>2024.0</v>
      </c>
      <c r="D267" s="27" t="s">
        <v>3156</v>
      </c>
      <c r="E267" s="27" t="s">
        <v>2520</v>
      </c>
      <c r="F267" s="42">
        <v>4.7</v>
      </c>
      <c r="G267" s="42">
        <v>3.3</v>
      </c>
      <c r="H267" s="42">
        <v>4.0</v>
      </c>
      <c r="I267" s="27" t="s">
        <v>909</v>
      </c>
      <c r="J267" s="27" t="s">
        <v>187</v>
      </c>
      <c r="K267" s="42">
        <v>1.4</v>
      </c>
      <c r="L267" s="42">
        <v>1.5</v>
      </c>
      <c r="M267" s="33">
        <v>45669.0</v>
      </c>
    </row>
    <row r="268" ht="15.75" customHeight="1">
      <c r="A268" s="25" t="s">
        <v>3425</v>
      </c>
      <c r="B268" s="25" t="s">
        <v>1275</v>
      </c>
      <c r="C268" s="24">
        <v>2023.0</v>
      </c>
      <c r="D268" s="25" t="s">
        <v>3156</v>
      </c>
      <c r="E268" s="25" t="s">
        <v>3159</v>
      </c>
      <c r="F268" s="41">
        <v>3.3</v>
      </c>
      <c r="G268" s="41">
        <v>4.8</v>
      </c>
      <c r="H268" s="41">
        <v>4.0</v>
      </c>
      <c r="I268" s="25" t="s">
        <v>849</v>
      </c>
      <c r="J268" s="25" t="s">
        <v>187</v>
      </c>
      <c r="K268" s="41">
        <v>5.7</v>
      </c>
      <c r="L268" s="41">
        <v>10.6</v>
      </c>
      <c r="M268" s="30">
        <v>45297.0</v>
      </c>
    </row>
    <row r="269" ht="15.75" customHeight="1">
      <c r="A269" s="27" t="s">
        <v>3426</v>
      </c>
      <c r="B269" s="27" t="s">
        <v>1275</v>
      </c>
      <c r="C269" s="26">
        <v>2024.0</v>
      </c>
      <c r="D269" s="27" t="s">
        <v>3156</v>
      </c>
      <c r="E269" s="27" t="s">
        <v>3159</v>
      </c>
      <c r="F269" s="42">
        <v>3.8</v>
      </c>
      <c r="G269" s="42">
        <v>4.0</v>
      </c>
      <c r="H269" s="42">
        <v>3.9</v>
      </c>
      <c r="I269" s="27" t="s">
        <v>849</v>
      </c>
      <c r="J269" s="27" t="s">
        <v>187</v>
      </c>
      <c r="K269" s="42">
        <v>6.8</v>
      </c>
      <c r="L269" s="42">
        <v>9.8</v>
      </c>
      <c r="M269" s="33">
        <v>45679.0</v>
      </c>
    </row>
    <row r="270" ht="15.75" customHeight="1">
      <c r="A270" s="25" t="s">
        <v>3427</v>
      </c>
      <c r="B270" s="25" t="s">
        <v>1281</v>
      </c>
      <c r="C270" s="24">
        <v>2023.0</v>
      </c>
      <c r="D270" s="25" t="s">
        <v>3156</v>
      </c>
      <c r="E270" s="25" t="s">
        <v>2520</v>
      </c>
      <c r="F270" s="41">
        <v>4.8</v>
      </c>
      <c r="G270" s="41">
        <v>2.7</v>
      </c>
      <c r="H270" s="41">
        <v>3.8</v>
      </c>
      <c r="I270" s="25" t="s">
        <v>915</v>
      </c>
      <c r="J270" s="25" t="s">
        <v>187</v>
      </c>
      <c r="K270" s="41">
        <v>1.9</v>
      </c>
      <c r="L270" s="41">
        <v>2.9</v>
      </c>
      <c r="M270" s="30">
        <v>45337.0</v>
      </c>
    </row>
    <row r="271" ht="15.75" customHeight="1">
      <c r="A271" s="27" t="s">
        <v>3428</v>
      </c>
      <c r="B271" s="27" t="s">
        <v>1281</v>
      </c>
      <c r="C271" s="26">
        <v>2024.0</v>
      </c>
      <c r="D271" s="27" t="s">
        <v>3156</v>
      </c>
      <c r="E271" s="27" t="s">
        <v>3159</v>
      </c>
      <c r="F271" s="42">
        <v>3.0</v>
      </c>
      <c r="G271" s="42">
        <v>4.7</v>
      </c>
      <c r="H271" s="42">
        <v>3.9</v>
      </c>
      <c r="I271" s="27" t="s">
        <v>915</v>
      </c>
      <c r="J271" s="27" t="s">
        <v>187</v>
      </c>
      <c r="K271" s="42">
        <v>8.7</v>
      </c>
      <c r="L271" s="42">
        <v>11.9</v>
      </c>
      <c r="M271" s="33">
        <v>45663.0</v>
      </c>
    </row>
    <row r="272" ht="15.75" customHeight="1">
      <c r="A272" s="25" t="s">
        <v>3429</v>
      </c>
      <c r="B272" s="25" t="s">
        <v>1287</v>
      </c>
      <c r="C272" s="24">
        <v>2023.0</v>
      </c>
      <c r="D272" s="25" t="s">
        <v>3156</v>
      </c>
      <c r="E272" s="25" t="s">
        <v>3157</v>
      </c>
      <c r="F272" s="41">
        <v>3.3</v>
      </c>
      <c r="G272" s="41">
        <v>3.5</v>
      </c>
      <c r="H272" s="41">
        <v>3.4</v>
      </c>
      <c r="I272" s="25" t="s">
        <v>801</v>
      </c>
      <c r="J272" s="25" t="s">
        <v>181</v>
      </c>
      <c r="K272" s="41">
        <v>9.0</v>
      </c>
      <c r="L272" s="41">
        <v>20.0</v>
      </c>
      <c r="M272" s="30">
        <v>45303.0</v>
      </c>
    </row>
    <row r="273" ht="15.75" customHeight="1">
      <c r="A273" s="27" t="s">
        <v>3430</v>
      </c>
      <c r="B273" s="27" t="s">
        <v>1287</v>
      </c>
      <c r="C273" s="26">
        <v>2024.0</v>
      </c>
      <c r="D273" s="27" t="s">
        <v>3156</v>
      </c>
      <c r="E273" s="27" t="s">
        <v>3159</v>
      </c>
      <c r="F273" s="42">
        <v>4.5</v>
      </c>
      <c r="G273" s="42">
        <v>2.5</v>
      </c>
      <c r="H273" s="42">
        <v>3.5</v>
      </c>
      <c r="I273" s="27" t="s">
        <v>801</v>
      </c>
      <c r="J273" s="27" t="s">
        <v>187</v>
      </c>
      <c r="K273" s="42">
        <v>6.1</v>
      </c>
      <c r="L273" s="42">
        <v>6.3</v>
      </c>
      <c r="M273" s="33">
        <v>45717.0</v>
      </c>
    </row>
    <row r="274" ht="15.75" customHeight="1">
      <c r="A274" s="25" t="s">
        <v>3431</v>
      </c>
      <c r="B274" s="25" t="s">
        <v>1293</v>
      </c>
      <c r="C274" s="24">
        <v>2023.0</v>
      </c>
      <c r="D274" s="25" t="s">
        <v>3156</v>
      </c>
      <c r="E274" s="25" t="s">
        <v>3159</v>
      </c>
      <c r="F274" s="41">
        <v>4.8</v>
      </c>
      <c r="G274" s="41">
        <v>2.6</v>
      </c>
      <c r="H274" s="41">
        <v>3.7</v>
      </c>
      <c r="I274" s="25" t="s">
        <v>883</v>
      </c>
      <c r="J274" s="25" t="s">
        <v>187</v>
      </c>
      <c r="K274" s="41">
        <v>5.5</v>
      </c>
      <c r="L274" s="41">
        <v>5.3</v>
      </c>
      <c r="M274" s="30">
        <v>45366.0</v>
      </c>
    </row>
    <row r="275" ht="15.75" customHeight="1">
      <c r="A275" s="27" t="s">
        <v>3432</v>
      </c>
      <c r="B275" s="27" t="s">
        <v>1293</v>
      </c>
      <c r="C275" s="26">
        <v>2024.0</v>
      </c>
      <c r="D275" s="27" t="s">
        <v>3156</v>
      </c>
      <c r="E275" s="27" t="s">
        <v>3159</v>
      </c>
      <c r="F275" s="42">
        <v>3.3</v>
      </c>
      <c r="G275" s="42">
        <v>2.6</v>
      </c>
      <c r="H275" s="42">
        <v>3.0</v>
      </c>
      <c r="I275" s="27" t="s">
        <v>883</v>
      </c>
      <c r="J275" s="27" t="s">
        <v>187</v>
      </c>
      <c r="K275" s="42">
        <v>8.6</v>
      </c>
      <c r="L275" s="42">
        <v>7.1</v>
      </c>
      <c r="M275" s="33">
        <v>45701.0</v>
      </c>
    </row>
    <row r="276" ht="15.75" customHeight="1">
      <c r="A276" s="25" t="s">
        <v>3433</v>
      </c>
      <c r="B276" s="25" t="s">
        <v>1300</v>
      </c>
      <c r="C276" s="24">
        <v>2024.0</v>
      </c>
      <c r="D276" s="25" t="s">
        <v>3156</v>
      </c>
      <c r="E276" s="25" t="s">
        <v>3159</v>
      </c>
      <c r="F276" s="41">
        <v>4.2</v>
      </c>
      <c r="G276" s="41">
        <v>3.2</v>
      </c>
      <c r="H276" s="41">
        <v>3.7</v>
      </c>
      <c r="I276" s="25" t="s">
        <v>875</v>
      </c>
      <c r="J276" s="25" t="s">
        <v>187</v>
      </c>
      <c r="K276" s="41">
        <v>5.8</v>
      </c>
      <c r="L276" s="41">
        <v>8.0</v>
      </c>
      <c r="M276" s="30">
        <v>45669.0</v>
      </c>
    </row>
    <row r="277" ht="15.75" customHeight="1">
      <c r="A277" s="27" t="s">
        <v>3434</v>
      </c>
      <c r="B277" s="27" t="s">
        <v>1306</v>
      </c>
      <c r="C277" s="26">
        <v>2023.0</v>
      </c>
      <c r="D277" s="27" t="s">
        <v>3156</v>
      </c>
      <c r="E277" s="27" t="s">
        <v>3159</v>
      </c>
      <c r="F277" s="42">
        <v>3.9</v>
      </c>
      <c r="G277" s="42">
        <v>3.7</v>
      </c>
      <c r="H277" s="42">
        <v>3.8</v>
      </c>
      <c r="I277" s="27" t="s">
        <v>903</v>
      </c>
      <c r="J277" s="27" t="s">
        <v>187</v>
      </c>
      <c r="K277" s="42">
        <v>8.6</v>
      </c>
      <c r="L277" s="42">
        <v>9.7</v>
      </c>
      <c r="M277" s="33">
        <v>45355.0</v>
      </c>
    </row>
    <row r="278" ht="15.75" customHeight="1">
      <c r="A278" s="25" t="s">
        <v>3435</v>
      </c>
      <c r="B278" s="25" t="s">
        <v>1306</v>
      </c>
      <c r="C278" s="24">
        <v>2024.0</v>
      </c>
      <c r="D278" s="25" t="s">
        <v>3156</v>
      </c>
      <c r="E278" s="25" t="s">
        <v>3157</v>
      </c>
      <c r="F278" s="41">
        <v>2.8</v>
      </c>
      <c r="G278" s="41">
        <v>4.4</v>
      </c>
      <c r="H278" s="41">
        <v>3.6</v>
      </c>
      <c r="I278" s="25" t="s">
        <v>903</v>
      </c>
      <c r="J278" s="25" t="s">
        <v>187</v>
      </c>
      <c r="K278" s="41">
        <v>9.7</v>
      </c>
      <c r="L278" s="41">
        <v>18.6</v>
      </c>
      <c r="M278" s="30">
        <v>45717.0</v>
      </c>
    </row>
    <row r="279" ht="15.75" customHeight="1">
      <c r="A279" s="27" t="s">
        <v>3436</v>
      </c>
      <c r="B279" s="27" t="s">
        <v>1312</v>
      </c>
      <c r="C279" s="26">
        <v>2023.0</v>
      </c>
      <c r="D279" s="27" t="s">
        <v>3156</v>
      </c>
      <c r="E279" s="27" t="s">
        <v>3159</v>
      </c>
      <c r="F279" s="42">
        <v>3.4</v>
      </c>
      <c r="G279" s="42">
        <v>4.8</v>
      </c>
      <c r="H279" s="42">
        <v>4.1</v>
      </c>
      <c r="I279" s="27" t="s">
        <v>915</v>
      </c>
      <c r="J279" s="27" t="s">
        <v>187</v>
      </c>
      <c r="K279" s="42">
        <v>6.9</v>
      </c>
      <c r="L279" s="42">
        <v>9.4</v>
      </c>
      <c r="M279" s="33">
        <v>45355.0</v>
      </c>
    </row>
    <row r="280" ht="15.75" customHeight="1">
      <c r="A280" s="25" t="s">
        <v>3437</v>
      </c>
      <c r="B280" s="25" t="s">
        <v>1312</v>
      </c>
      <c r="C280" s="24">
        <v>2024.0</v>
      </c>
      <c r="D280" s="25" t="s">
        <v>3156</v>
      </c>
      <c r="E280" s="25" t="s">
        <v>3159</v>
      </c>
      <c r="F280" s="41">
        <v>2.6</v>
      </c>
      <c r="G280" s="41">
        <v>2.8</v>
      </c>
      <c r="H280" s="41">
        <v>2.7</v>
      </c>
      <c r="I280" s="25" t="s">
        <v>915</v>
      </c>
      <c r="J280" s="25" t="s">
        <v>187</v>
      </c>
      <c r="K280" s="41">
        <v>8.6</v>
      </c>
      <c r="L280" s="41">
        <v>5.6</v>
      </c>
      <c r="M280" s="30">
        <v>45724.0</v>
      </c>
    </row>
    <row r="281" ht="15.75" customHeight="1">
      <c r="A281" s="27" t="s">
        <v>3438</v>
      </c>
      <c r="B281" s="27" t="s">
        <v>1318</v>
      </c>
      <c r="C281" s="26">
        <v>2024.0</v>
      </c>
      <c r="D281" s="27" t="s">
        <v>3156</v>
      </c>
      <c r="E281" s="27" t="s">
        <v>3159</v>
      </c>
      <c r="F281" s="42">
        <v>4.3</v>
      </c>
      <c r="G281" s="42">
        <v>3.5</v>
      </c>
      <c r="H281" s="42">
        <v>3.9</v>
      </c>
      <c r="I281" s="27" t="s">
        <v>903</v>
      </c>
      <c r="J281" s="27" t="s">
        <v>187</v>
      </c>
      <c r="K281" s="42">
        <v>5.0</v>
      </c>
      <c r="L281" s="42">
        <v>8.5</v>
      </c>
      <c r="M281" s="33">
        <v>45698.0</v>
      </c>
    </row>
    <row r="282" ht="15.75" customHeight="1">
      <c r="A282" s="25" t="s">
        <v>3439</v>
      </c>
      <c r="B282" s="25" t="s">
        <v>1324</v>
      </c>
      <c r="C282" s="24">
        <v>2024.0</v>
      </c>
      <c r="D282" s="25" t="s">
        <v>3156</v>
      </c>
      <c r="E282" s="25" t="s">
        <v>3159</v>
      </c>
      <c r="F282" s="41">
        <v>4.0</v>
      </c>
      <c r="G282" s="41">
        <v>4.7</v>
      </c>
      <c r="H282" s="41">
        <v>4.3</v>
      </c>
      <c r="I282" s="25" t="s">
        <v>875</v>
      </c>
      <c r="J282" s="25" t="s">
        <v>187</v>
      </c>
      <c r="K282" s="41">
        <v>6.5</v>
      </c>
      <c r="L282" s="41">
        <v>6.8</v>
      </c>
      <c r="M282" s="30">
        <v>45723.0</v>
      </c>
    </row>
    <row r="283" ht="15.75" customHeight="1">
      <c r="A283" s="27" t="s">
        <v>3440</v>
      </c>
      <c r="B283" s="27" t="s">
        <v>1330</v>
      </c>
      <c r="C283" s="26">
        <v>2023.0</v>
      </c>
      <c r="D283" s="27" t="s">
        <v>3156</v>
      </c>
      <c r="E283" s="27" t="s">
        <v>3159</v>
      </c>
      <c r="F283" s="42">
        <v>4.3</v>
      </c>
      <c r="G283" s="42">
        <v>2.7</v>
      </c>
      <c r="H283" s="42">
        <v>3.5</v>
      </c>
      <c r="I283" s="27" t="s">
        <v>921</v>
      </c>
      <c r="J283" s="27" t="s">
        <v>187</v>
      </c>
      <c r="K283" s="42">
        <v>5.6</v>
      </c>
      <c r="L283" s="42">
        <v>9.4</v>
      </c>
      <c r="M283" s="33">
        <v>45365.0</v>
      </c>
    </row>
    <row r="284" ht="15.75" customHeight="1">
      <c r="A284" s="25" t="s">
        <v>3441</v>
      </c>
      <c r="B284" s="25" t="s">
        <v>1330</v>
      </c>
      <c r="C284" s="24">
        <v>2024.0</v>
      </c>
      <c r="D284" s="25" t="s">
        <v>3156</v>
      </c>
      <c r="E284" s="25" t="s">
        <v>3159</v>
      </c>
      <c r="F284" s="41">
        <v>3.2</v>
      </c>
      <c r="G284" s="41">
        <v>3.6</v>
      </c>
      <c r="H284" s="41">
        <v>3.4</v>
      </c>
      <c r="I284" s="25" t="s">
        <v>921</v>
      </c>
      <c r="J284" s="25" t="s">
        <v>187</v>
      </c>
      <c r="K284" s="41">
        <v>7.7</v>
      </c>
      <c r="L284" s="41">
        <v>11.8</v>
      </c>
      <c r="M284" s="30">
        <v>45660.0</v>
      </c>
    </row>
    <row r="285" ht="15.75" customHeight="1">
      <c r="A285" s="27" t="s">
        <v>3442</v>
      </c>
      <c r="B285" s="27" t="s">
        <v>1336</v>
      </c>
      <c r="C285" s="26">
        <v>2023.0</v>
      </c>
      <c r="D285" s="27" t="s">
        <v>3156</v>
      </c>
      <c r="E285" s="27" t="s">
        <v>3157</v>
      </c>
      <c r="F285" s="42">
        <v>3.7</v>
      </c>
      <c r="G285" s="42">
        <v>4.8</v>
      </c>
      <c r="H285" s="42">
        <v>4.2</v>
      </c>
      <c r="I285" s="27" t="s">
        <v>909</v>
      </c>
      <c r="J285" s="27" t="s">
        <v>181</v>
      </c>
      <c r="K285" s="42">
        <v>8.4</v>
      </c>
      <c r="L285" s="42">
        <v>20.1</v>
      </c>
      <c r="M285" s="33">
        <v>45354.0</v>
      </c>
    </row>
    <row r="286" ht="15.75" customHeight="1">
      <c r="A286" s="25" t="s">
        <v>3443</v>
      </c>
      <c r="B286" s="25" t="s">
        <v>1336</v>
      </c>
      <c r="C286" s="24">
        <v>2024.0</v>
      </c>
      <c r="D286" s="25" t="s">
        <v>3156</v>
      </c>
      <c r="E286" s="25" t="s">
        <v>3159</v>
      </c>
      <c r="F286" s="41">
        <v>4.4</v>
      </c>
      <c r="G286" s="41">
        <v>4.8</v>
      </c>
      <c r="H286" s="41">
        <v>4.6</v>
      </c>
      <c r="I286" s="25" t="s">
        <v>909</v>
      </c>
      <c r="J286" s="25" t="s">
        <v>187</v>
      </c>
      <c r="K286" s="41">
        <v>7.0</v>
      </c>
      <c r="L286" s="41">
        <v>10.1</v>
      </c>
      <c r="M286" s="30">
        <v>45712.0</v>
      </c>
    </row>
    <row r="287" ht="15.75" customHeight="1">
      <c r="A287" s="27" t="s">
        <v>3444</v>
      </c>
      <c r="B287" s="27" t="s">
        <v>1342</v>
      </c>
      <c r="C287" s="26">
        <v>2023.0</v>
      </c>
      <c r="D287" s="27" t="s">
        <v>3156</v>
      </c>
      <c r="E287" s="27" t="s">
        <v>2520</v>
      </c>
      <c r="F287" s="42">
        <v>3.4</v>
      </c>
      <c r="G287" s="42">
        <v>3.3</v>
      </c>
      <c r="H287" s="42">
        <v>3.3</v>
      </c>
      <c r="I287" s="27" t="s">
        <v>868</v>
      </c>
      <c r="J287" s="27" t="s">
        <v>187</v>
      </c>
      <c r="K287" s="42">
        <v>3.0</v>
      </c>
      <c r="L287" s="42">
        <v>3.5</v>
      </c>
      <c r="M287" s="33">
        <v>45337.0</v>
      </c>
    </row>
    <row r="288" ht="15.75" customHeight="1">
      <c r="A288" s="25" t="s">
        <v>3445</v>
      </c>
      <c r="B288" s="25" t="s">
        <v>1342</v>
      </c>
      <c r="C288" s="24">
        <v>2024.0</v>
      </c>
      <c r="D288" s="25" t="s">
        <v>3156</v>
      </c>
      <c r="E288" s="25" t="s">
        <v>2520</v>
      </c>
      <c r="F288" s="41">
        <v>3.3</v>
      </c>
      <c r="G288" s="41">
        <v>4.5</v>
      </c>
      <c r="H288" s="41">
        <v>3.9</v>
      </c>
      <c r="I288" s="25" t="s">
        <v>868</v>
      </c>
      <c r="J288" s="25" t="s">
        <v>187</v>
      </c>
      <c r="K288" s="41">
        <v>3.5</v>
      </c>
      <c r="L288" s="41">
        <v>3.7</v>
      </c>
      <c r="M288" s="30">
        <v>45702.0</v>
      </c>
    </row>
    <row r="289" ht="15.75" customHeight="1">
      <c r="A289" s="27" t="s">
        <v>3446</v>
      </c>
      <c r="B289" s="27" t="s">
        <v>1348</v>
      </c>
      <c r="C289" s="26">
        <v>2024.0</v>
      </c>
      <c r="D289" s="27" t="s">
        <v>3156</v>
      </c>
      <c r="E289" s="27" t="s">
        <v>2520</v>
      </c>
      <c r="F289" s="42">
        <v>4.7</v>
      </c>
      <c r="G289" s="42">
        <v>4.5</v>
      </c>
      <c r="H289" s="42">
        <v>4.6</v>
      </c>
      <c r="I289" s="27" t="s">
        <v>883</v>
      </c>
      <c r="J289" s="27" t="s">
        <v>187</v>
      </c>
      <c r="K289" s="42">
        <v>0.6</v>
      </c>
      <c r="L289" s="42">
        <v>4.1</v>
      </c>
      <c r="M289" s="33">
        <v>45662.0</v>
      </c>
    </row>
    <row r="290" ht="15.75" customHeight="1">
      <c r="A290" s="25" t="s">
        <v>3447</v>
      </c>
      <c r="B290" s="25" t="s">
        <v>1355</v>
      </c>
      <c r="C290" s="24">
        <v>2024.0</v>
      </c>
      <c r="D290" s="25" t="s">
        <v>3156</v>
      </c>
      <c r="E290" s="25" t="s">
        <v>3159</v>
      </c>
      <c r="F290" s="41">
        <v>3.0</v>
      </c>
      <c r="G290" s="41">
        <v>2.7</v>
      </c>
      <c r="H290" s="41">
        <v>2.9</v>
      </c>
      <c r="I290" s="25" t="s">
        <v>855</v>
      </c>
      <c r="J290" s="25" t="s">
        <v>187</v>
      </c>
      <c r="K290" s="41">
        <v>4.7</v>
      </c>
      <c r="L290" s="41">
        <v>7.7</v>
      </c>
      <c r="M290" s="30">
        <v>45725.0</v>
      </c>
    </row>
    <row r="291" ht="15.75" customHeight="1">
      <c r="A291" s="27" t="s">
        <v>3448</v>
      </c>
      <c r="B291" s="27" t="s">
        <v>1361</v>
      </c>
      <c r="C291" s="26">
        <v>2024.0</v>
      </c>
      <c r="D291" s="27" t="s">
        <v>3156</v>
      </c>
      <c r="E291" s="27" t="s">
        <v>3159</v>
      </c>
      <c r="F291" s="42">
        <v>3.7</v>
      </c>
      <c r="G291" s="42">
        <v>4.3</v>
      </c>
      <c r="H291" s="42">
        <v>4.0</v>
      </c>
      <c r="I291" s="27" t="s">
        <v>837</v>
      </c>
      <c r="J291" s="27" t="s">
        <v>187</v>
      </c>
      <c r="K291" s="42">
        <v>8.7</v>
      </c>
      <c r="L291" s="42">
        <v>5.4</v>
      </c>
      <c r="M291" s="33">
        <v>45668.0</v>
      </c>
    </row>
    <row r="292" ht="15.75" customHeight="1">
      <c r="A292" s="25" t="s">
        <v>3449</v>
      </c>
      <c r="B292" s="25" t="s">
        <v>1367</v>
      </c>
      <c r="C292" s="24">
        <v>2024.0</v>
      </c>
      <c r="D292" s="25" t="s">
        <v>3156</v>
      </c>
      <c r="E292" s="25" t="s">
        <v>3159</v>
      </c>
      <c r="F292" s="41">
        <v>4.0</v>
      </c>
      <c r="G292" s="41">
        <v>2.9</v>
      </c>
      <c r="H292" s="41">
        <v>3.5</v>
      </c>
      <c r="I292" s="25" t="s">
        <v>801</v>
      </c>
      <c r="J292" s="25" t="s">
        <v>187</v>
      </c>
      <c r="K292" s="41">
        <v>6.5</v>
      </c>
      <c r="L292" s="41">
        <v>11.7</v>
      </c>
      <c r="M292" s="30">
        <v>45709.0</v>
      </c>
    </row>
    <row r="293" ht="15.75" customHeight="1">
      <c r="A293" s="27" t="s">
        <v>3450</v>
      </c>
      <c r="B293" s="27" t="s">
        <v>1374</v>
      </c>
      <c r="C293" s="26">
        <v>2024.0</v>
      </c>
      <c r="D293" s="27" t="s">
        <v>3156</v>
      </c>
      <c r="E293" s="27" t="s">
        <v>3159</v>
      </c>
      <c r="F293" s="42">
        <v>4.0</v>
      </c>
      <c r="G293" s="42">
        <v>4.0</v>
      </c>
      <c r="H293" s="42">
        <v>4.0</v>
      </c>
      <c r="I293" s="27" t="s">
        <v>868</v>
      </c>
      <c r="J293" s="27" t="s">
        <v>187</v>
      </c>
      <c r="K293" s="42">
        <v>6.6</v>
      </c>
      <c r="L293" s="42">
        <v>9.8</v>
      </c>
      <c r="M293" s="33">
        <v>45732.0</v>
      </c>
    </row>
    <row r="294" ht="15.75" customHeight="1">
      <c r="A294" s="25" t="s">
        <v>3451</v>
      </c>
      <c r="B294" s="25" t="s">
        <v>1380</v>
      </c>
      <c r="C294" s="24">
        <v>2024.0</v>
      </c>
      <c r="D294" s="25" t="s">
        <v>3156</v>
      </c>
      <c r="E294" s="25" t="s">
        <v>3157</v>
      </c>
      <c r="F294" s="41">
        <v>3.6</v>
      </c>
      <c r="G294" s="41">
        <v>3.5</v>
      </c>
      <c r="H294" s="41">
        <v>3.5</v>
      </c>
      <c r="I294" s="25" t="s">
        <v>928</v>
      </c>
      <c r="J294" s="25" t="s">
        <v>181</v>
      </c>
      <c r="K294" s="41">
        <v>9.5</v>
      </c>
      <c r="L294" s="41">
        <v>23.1</v>
      </c>
      <c r="M294" s="30">
        <v>45706.0</v>
      </c>
    </row>
    <row r="295" ht="15.75" customHeight="1">
      <c r="A295" s="27" t="s">
        <v>3452</v>
      </c>
      <c r="B295" s="27" t="s">
        <v>1386</v>
      </c>
      <c r="C295" s="26">
        <v>2024.0</v>
      </c>
      <c r="D295" s="27" t="s">
        <v>3156</v>
      </c>
      <c r="E295" s="27" t="s">
        <v>3159</v>
      </c>
      <c r="F295" s="42">
        <v>4.5</v>
      </c>
      <c r="G295" s="42">
        <v>4.2</v>
      </c>
      <c r="H295" s="42">
        <v>4.3</v>
      </c>
      <c r="I295" s="27" t="s">
        <v>849</v>
      </c>
      <c r="J295" s="27" t="s">
        <v>187</v>
      </c>
      <c r="K295" s="42">
        <v>8.8</v>
      </c>
      <c r="L295" s="42">
        <v>11.4</v>
      </c>
      <c r="M295" s="33">
        <v>45724.0</v>
      </c>
    </row>
    <row r="296" ht="15.75" customHeight="1">
      <c r="A296" s="25" t="s">
        <v>3453</v>
      </c>
      <c r="B296" s="25" t="s">
        <v>1393</v>
      </c>
      <c r="C296" s="24">
        <v>2023.0</v>
      </c>
      <c r="D296" s="25" t="s">
        <v>3156</v>
      </c>
      <c r="E296" s="25" t="s">
        <v>2520</v>
      </c>
      <c r="F296" s="41">
        <v>3.1</v>
      </c>
      <c r="G296" s="41">
        <v>3.9</v>
      </c>
      <c r="H296" s="41">
        <v>3.5</v>
      </c>
      <c r="I296" s="25" t="s">
        <v>801</v>
      </c>
      <c r="J296" s="25" t="s">
        <v>187</v>
      </c>
      <c r="K296" s="41">
        <v>3.5</v>
      </c>
      <c r="L296" s="41">
        <v>1.6</v>
      </c>
      <c r="M296" s="30">
        <v>45367.0</v>
      </c>
    </row>
    <row r="297" ht="15.75" customHeight="1">
      <c r="A297" s="27" t="s">
        <v>3454</v>
      </c>
      <c r="B297" s="27" t="s">
        <v>1393</v>
      </c>
      <c r="C297" s="26">
        <v>2024.0</v>
      </c>
      <c r="D297" s="27" t="s">
        <v>3156</v>
      </c>
      <c r="E297" s="27" t="s">
        <v>3159</v>
      </c>
      <c r="F297" s="42">
        <v>4.8</v>
      </c>
      <c r="G297" s="42">
        <v>4.9</v>
      </c>
      <c r="H297" s="42">
        <v>4.8</v>
      </c>
      <c r="I297" s="27" t="s">
        <v>801</v>
      </c>
      <c r="J297" s="27" t="s">
        <v>187</v>
      </c>
      <c r="K297" s="42">
        <v>4.3</v>
      </c>
      <c r="L297" s="42">
        <v>10.4</v>
      </c>
      <c r="M297" s="33">
        <v>45716.0</v>
      </c>
    </row>
    <row r="298" ht="15.75" customHeight="1">
      <c r="A298" s="25" t="s">
        <v>3455</v>
      </c>
      <c r="B298" s="25" t="s">
        <v>1400</v>
      </c>
      <c r="C298" s="24">
        <v>2024.0</v>
      </c>
      <c r="D298" s="25" t="s">
        <v>3156</v>
      </c>
      <c r="E298" s="25" t="s">
        <v>3159</v>
      </c>
      <c r="F298" s="41">
        <v>3.7</v>
      </c>
      <c r="G298" s="41">
        <v>3.1</v>
      </c>
      <c r="H298" s="41">
        <v>3.4</v>
      </c>
      <c r="I298" s="25" t="s">
        <v>855</v>
      </c>
      <c r="J298" s="25" t="s">
        <v>187</v>
      </c>
      <c r="K298" s="41">
        <v>5.8</v>
      </c>
      <c r="L298" s="41">
        <v>10.5</v>
      </c>
      <c r="M298" s="30">
        <v>45699.0</v>
      </c>
    </row>
    <row r="299" ht="15.75" customHeight="1">
      <c r="A299" s="27" t="s">
        <v>3456</v>
      </c>
      <c r="B299" s="27" t="s">
        <v>1406</v>
      </c>
      <c r="C299" s="26">
        <v>2023.0</v>
      </c>
      <c r="D299" s="27" t="s">
        <v>3156</v>
      </c>
      <c r="E299" s="27" t="s">
        <v>3159</v>
      </c>
      <c r="F299" s="42">
        <v>3.8</v>
      </c>
      <c r="G299" s="42">
        <v>4.6</v>
      </c>
      <c r="H299" s="42">
        <v>4.2</v>
      </c>
      <c r="I299" s="27" t="s">
        <v>808</v>
      </c>
      <c r="J299" s="27" t="s">
        <v>187</v>
      </c>
      <c r="K299" s="42">
        <v>8.8</v>
      </c>
      <c r="L299" s="42">
        <v>10.1</v>
      </c>
      <c r="M299" s="33">
        <v>45308.0</v>
      </c>
    </row>
    <row r="300" ht="15.75" customHeight="1">
      <c r="A300" s="25" t="s">
        <v>3457</v>
      </c>
      <c r="B300" s="25" t="s">
        <v>1406</v>
      </c>
      <c r="C300" s="24">
        <v>2024.0</v>
      </c>
      <c r="D300" s="25" t="s">
        <v>3156</v>
      </c>
      <c r="E300" s="25" t="s">
        <v>3159</v>
      </c>
      <c r="F300" s="41">
        <v>3.2</v>
      </c>
      <c r="G300" s="41">
        <v>4.5</v>
      </c>
      <c r="H300" s="41">
        <v>3.9</v>
      </c>
      <c r="I300" s="25" t="s">
        <v>808</v>
      </c>
      <c r="J300" s="25" t="s">
        <v>187</v>
      </c>
      <c r="K300" s="41">
        <v>8.1</v>
      </c>
      <c r="L300" s="41">
        <v>6.0</v>
      </c>
      <c r="M300" s="30">
        <v>45737.0</v>
      </c>
    </row>
    <row r="301" ht="15.75" customHeight="1">
      <c r="A301" s="27" t="s">
        <v>3458</v>
      </c>
      <c r="B301" s="27" t="s">
        <v>1413</v>
      </c>
      <c r="C301" s="26">
        <v>2023.0</v>
      </c>
      <c r="D301" s="27" t="s">
        <v>3156</v>
      </c>
      <c r="E301" s="27" t="s">
        <v>3159</v>
      </c>
      <c r="F301" s="42">
        <v>2.7</v>
      </c>
      <c r="G301" s="42">
        <v>3.7</v>
      </c>
      <c r="H301" s="42">
        <v>3.2</v>
      </c>
      <c r="I301" s="27" t="s">
        <v>903</v>
      </c>
      <c r="J301" s="27" t="s">
        <v>187</v>
      </c>
      <c r="K301" s="42">
        <v>4.7</v>
      </c>
      <c r="L301" s="42">
        <v>9.2</v>
      </c>
      <c r="M301" s="33">
        <v>45300.0</v>
      </c>
    </row>
    <row r="302" ht="15.75" customHeight="1">
      <c r="A302" s="25" t="s">
        <v>3459</v>
      </c>
      <c r="B302" s="25" t="s">
        <v>1413</v>
      </c>
      <c r="C302" s="24">
        <v>2024.0</v>
      </c>
      <c r="D302" s="25" t="s">
        <v>3156</v>
      </c>
      <c r="E302" s="25" t="s">
        <v>3159</v>
      </c>
      <c r="F302" s="41">
        <v>3.0</v>
      </c>
      <c r="G302" s="41">
        <v>4.0</v>
      </c>
      <c r="H302" s="41">
        <v>3.5</v>
      </c>
      <c r="I302" s="25" t="s">
        <v>903</v>
      </c>
      <c r="J302" s="25" t="s">
        <v>187</v>
      </c>
      <c r="K302" s="41">
        <v>6.9</v>
      </c>
      <c r="L302" s="41">
        <v>5.4</v>
      </c>
      <c r="M302" s="30">
        <v>45700.0</v>
      </c>
    </row>
    <row r="303" ht="15.75" customHeight="1">
      <c r="A303" s="27" t="s">
        <v>3460</v>
      </c>
      <c r="B303" s="27" t="s">
        <v>1419</v>
      </c>
      <c r="C303" s="26">
        <v>2024.0</v>
      </c>
      <c r="D303" s="27" t="s">
        <v>3156</v>
      </c>
      <c r="E303" s="27" t="s">
        <v>3157</v>
      </c>
      <c r="F303" s="42">
        <v>4.6</v>
      </c>
      <c r="G303" s="42">
        <v>3.4</v>
      </c>
      <c r="H303" s="42">
        <v>4.0</v>
      </c>
      <c r="I303" s="27" t="s">
        <v>909</v>
      </c>
      <c r="J303" s="27" t="s">
        <v>181</v>
      </c>
      <c r="K303" s="42">
        <v>8.2</v>
      </c>
      <c r="L303" s="42">
        <v>12.7</v>
      </c>
      <c r="M303" s="33">
        <v>45707.0</v>
      </c>
    </row>
    <row r="304" ht="15.75" customHeight="1">
      <c r="A304" s="25" t="s">
        <v>3461</v>
      </c>
      <c r="B304" s="25" t="s">
        <v>1425</v>
      </c>
      <c r="C304" s="24">
        <v>2024.0</v>
      </c>
      <c r="D304" s="25" t="s">
        <v>3156</v>
      </c>
      <c r="E304" s="25" t="s">
        <v>3159</v>
      </c>
      <c r="F304" s="41">
        <v>2.6</v>
      </c>
      <c r="G304" s="41">
        <v>3.8</v>
      </c>
      <c r="H304" s="41">
        <v>3.2</v>
      </c>
      <c r="I304" s="25" t="s">
        <v>875</v>
      </c>
      <c r="J304" s="25" t="s">
        <v>187</v>
      </c>
      <c r="K304" s="41">
        <v>7.6</v>
      </c>
      <c r="L304" s="41">
        <v>6.0</v>
      </c>
      <c r="M304" s="30">
        <v>45680.0</v>
      </c>
    </row>
    <row r="305" ht="15.75" customHeight="1">
      <c r="A305" s="27" t="s">
        <v>3462</v>
      </c>
      <c r="B305" s="27" t="s">
        <v>1431</v>
      </c>
      <c r="C305" s="26">
        <v>2023.0</v>
      </c>
      <c r="D305" s="27" t="s">
        <v>3156</v>
      </c>
      <c r="E305" s="27" t="s">
        <v>3159</v>
      </c>
      <c r="F305" s="42">
        <v>4.4</v>
      </c>
      <c r="G305" s="42">
        <v>4.9</v>
      </c>
      <c r="H305" s="42">
        <v>4.7</v>
      </c>
      <c r="I305" s="27" t="s">
        <v>921</v>
      </c>
      <c r="J305" s="27" t="s">
        <v>187</v>
      </c>
      <c r="K305" s="42">
        <v>6.1</v>
      </c>
      <c r="L305" s="42">
        <v>8.8</v>
      </c>
      <c r="M305" s="33">
        <v>45377.0</v>
      </c>
    </row>
    <row r="306" ht="15.75" customHeight="1">
      <c r="A306" s="25" t="s">
        <v>3463</v>
      </c>
      <c r="B306" s="25" t="s">
        <v>1431</v>
      </c>
      <c r="C306" s="24">
        <v>2024.0</v>
      </c>
      <c r="D306" s="25" t="s">
        <v>3156</v>
      </c>
      <c r="E306" s="25" t="s">
        <v>3159</v>
      </c>
      <c r="F306" s="41">
        <v>2.9</v>
      </c>
      <c r="G306" s="41">
        <v>4.6</v>
      </c>
      <c r="H306" s="41">
        <v>3.8</v>
      </c>
      <c r="I306" s="25" t="s">
        <v>921</v>
      </c>
      <c r="J306" s="25" t="s">
        <v>187</v>
      </c>
      <c r="K306" s="41">
        <v>6.2</v>
      </c>
      <c r="L306" s="41">
        <v>6.8</v>
      </c>
      <c r="M306" s="30">
        <v>45738.0</v>
      </c>
    </row>
    <row r="307" ht="15.75" customHeight="1">
      <c r="A307" s="27" t="s">
        <v>3464</v>
      </c>
      <c r="B307" s="27" t="s">
        <v>1437</v>
      </c>
      <c r="C307" s="26">
        <v>2024.0</v>
      </c>
      <c r="D307" s="27" t="s">
        <v>3156</v>
      </c>
      <c r="E307" s="27" t="s">
        <v>3159</v>
      </c>
      <c r="F307" s="42">
        <v>2.6</v>
      </c>
      <c r="G307" s="42">
        <v>4.6</v>
      </c>
      <c r="H307" s="42">
        <v>3.6</v>
      </c>
      <c r="I307" s="27" t="s">
        <v>849</v>
      </c>
      <c r="J307" s="27" t="s">
        <v>187</v>
      </c>
      <c r="K307" s="42">
        <v>4.2</v>
      </c>
      <c r="L307" s="42">
        <v>6.1</v>
      </c>
      <c r="M307" s="33">
        <v>45727.0</v>
      </c>
    </row>
    <row r="308" ht="15.75" customHeight="1">
      <c r="A308" s="25" t="s">
        <v>3465</v>
      </c>
      <c r="B308" s="25" t="s">
        <v>1443</v>
      </c>
      <c r="C308" s="24">
        <v>2024.0</v>
      </c>
      <c r="D308" s="25" t="s">
        <v>3156</v>
      </c>
      <c r="E308" s="25" t="s">
        <v>3159</v>
      </c>
      <c r="F308" s="41">
        <v>4.4</v>
      </c>
      <c r="G308" s="41">
        <v>4.2</v>
      </c>
      <c r="H308" s="41">
        <v>4.3</v>
      </c>
      <c r="I308" s="25" t="s">
        <v>837</v>
      </c>
      <c r="J308" s="25" t="s">
        <v>187</v>
      </c>
      <c r="K308" s="41">
        <v>7.8</v>
      </c>
      <c r="L308" s="41">
        <v>9.9</v>
      </c>
      <c r="M308" s="30">
        <v>45664.0</v>
      </c>
    </row>
    <row r="309" ht="15.75" customHeight="1">
      <c r="A309" s="27" t="s">
        <v>3466</v>
      </c>
      <c r="B309" s="27" t="s">
        <v>1449</v>
      </c>
      <c r="C309" s="26">
        <v>2024.0</v>
      </c>
      <c r="D309" s="27" t="s">
        <v>3156</v>
      </c>
      <c r="E309" s="27" t="s">
        <v>3159</v>
      </c>
      <c r="F309" s="42">
        <v>3.0</v>
      </c>
      <c r="G309" s="42">
        <v>4.0</v>
      </c>
      <c r="H309" s="42">
        <v>3.5</v>
      </c>
      <c r="I309" s="27" t="s">
        <v>822</v>
      </c>
      <c r="J309" s="27" t="s">
        <v>187</v>
      </c>
      <c r="K309" s="42">
        <v>7.5</v>
      </c>
      <c r="L309" s="42">
        <v>11.3</v>
      </c>
      <c r="M309" s="33">
        <v>45662.0</v>
      </c>
    </row>
    <row r="310" ht="15.75" customHeight="1">
      <c r="A310" s="25" t="s">
        <v>3467</v>
      </c>
      <c r="B310" s="25" t="s">
        <v>1455</v>
      </c>
      <c r="C310" s="24">
        <v>2024.0</v>
      </c>
      <c r="D310" s="25" t="s">
        <v>3156</v>
      </c>
      <c r="E310" s="25" t="s">
        <v>3159</v>
      </c>
      <c r="F310" s="41">
        <v>4.8</v>
      </c>
      <c r="G310" s="41">
        <v>4.4</v>
      </c>
      <c r="H310" s="41">
        <v>4.6</v>
      </c>
      <c r="I310" s="25" t="s">
        <v>849</v>
      </c>
      <c r="J310" s="25" t="s">
        <v>187</v>
      </c>
      <c r="K310" s="41">
        <v>6.8</v>
      </c>
      <c r="L310" s="41">
        <v>6.4</v>
      </c>
      <c r="M310" s="30">
        <v>45695.0</v>
      </c>
    </row>
    <row r="311" ht="15.75" customHeight="1">
      <c r="A311" s="27" t="s">
        <v>3468</v>
      </c>
      <c r="B311" s="27" t="s">
        <v>1461</v>
      </c>
      <c r="C311" s="26">
        <v>2023.0</v>
      </c>
      <c r="D311" s="27" t="s">
        <v>3156</v>
      </c>
      <c r="E311" s="27" t="s">
        <v>3159</v>
      </c>
      <c r="F311" s="42">
        <v>3.2</v>
      </c>
      <c r="G311" s="42">
        <v>2.8</v>
      </c>
      <c r="H311" s="42">
        <v>3.0</v>
      </c>
      <c r="I311" s="27" t="s">
        <v>849</v>
      </c>
      <c r="J311" s="27" t="s">
        <v>187</v>
      </c>
      <c r="K311" s="42">
        <v>4.1</v>
      </c>
      <c r="L311" s="42">
        <v>8.6</v>
      </c>
      <c r="M311" s="33">
        <v>45295.0</v>
      </c>
    </row>
    <row r="312" ht="15.75" customHeight="1">
      <c r="A312" s="25" t="s">
        <v>3469</v>
      </c>
      <c r="B312" s="25" t="s">
        <v>1461</v>
      </c>
      <c r="C312" s="24">
        <v>2024.0</v>
      </c>
      <c r="D312" s="25" t="s">
        <v>3156</v>
      </c>
      <c r="E312" s="25" t="s">
        <v>3157</v>
      </c>
      <c r="F312" s="41">
        <v>4.5</v>
      </c>
      <c r="G312" s="41">
        <v>4.4</v>
      </c>
      <c r="H312" s="41">
        <v>4.5</v>
      </c>
      <c r="I312" s="25" t="s">
        <v>849</v>
      </c>
      <c r="J312" s="25" t="s">
        <v>181</v>
      </c>
      <c r="K312" s="41">
        <v>14.1</v>
      </c>
      <c r="L312" s="41">
        <v>21.2</v>
      </c>
      <c r="M312" s="30">
        <v>45700.0</v>
      </c>
    </row>
    <row r="313" ht="15.75" customHeight="1">
      <c r="A313" s="27" t="s">
        <v>3470</v>
      </c>
      <c r="B313" s="27" t="s">
        <v>1467</v>
      </c>
      <c r="C313" s="26">
        <v>2024.0</v>
      </c>
      <c r="D313" s="27" t="s">
        <v>3156</v>
      </c>
      <c r="E313" s="27" t="s">
        <v>3159</v>
      </c>
      <c r="F313" s="42">
        <v>4.1</v>
      </c>
      <c r="G313" s="42">
        <v>3.1</v>
      </c>
      <c r="H313" s="42">
        <v>3.6</v>
      </c>
      <c r="I313" s="27" t="s">
        <v>855</v>
      </c>
      <c r="J313" s="27" t="s">
        <v>187</v>
      </c>
      <c r="K313" s="42">
        <v>8.2</v>
      </c>
      <c r="L313" s="42">
        <v>5.1</v>
      </c>
      <c r="M313" s="33">
        <v>45695.0</v>
      </c>
    </row>
    <row r="314" ht="15.75" customHeight="1">
      <c r="A314" s="25" t="s">
        <v>3471</v>
      </c>
      <c r="B314" s="25" t="s">
        <v>1473</v>
      </c>
      <c r="C314" s="24">
        <v>2024.0</v>
      </c>
      <c r="D314" s="25" t="s">
        <v>3156</v>
      </c>
      <c r="E314" s="25" t="s">
        <v>3159</v>
      </c>
      <c r="F314" s="41">
        <v>4.3</v>
      </c>
      <c r="G314" s="41">
        <v>4.3</v>
      </c>
      <c r="H314" s="41">
        <v>4.3</v>
      </c>
      <c r="I314" s="25" t="s">
        <v>915</v>
      </c>
      <c r="J314" s="25" t="s">
        <v>187</v>
      </c>
      <c r="K314" s="41">
        <v>6.0</v>
      </c>
      <c r="L314" s="41">
        <v>8.4</v>
      </c>
      <c r="M314" s="30">
        <v>45744.0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1"/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471A3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34.0"/>
    <col customWidth="1" min="4" max="4" width="14.0"/>
    <col customWidth="1" min="5" max="5" width="22.0"/>
    <col customWidth="1" min="6" max="6" width="14.0"/>
    <col customWidth="1" min="7" max="8" width="13.0"/>
    <col customWidth="1" min="9" max="9" width="12.0"/>
    <col customWidth="1" min="10" max="10" width="14.0"/>
    <col customWidth="1" min="11" max="11" width="10.0"/>
    <col customWidth="1" min="12" max="12" width="12.0"/>
    <col customWidth="1" min="13" max="26" width="8.71"/>
  </cols>
  <sheetData>
    <row r="1" ht="30.0" customHeight="1">
      <c r="A1" s="23" t="s">
        <v>3472</v>
      </c>
      <c r="B1" s="23" t="s">
        <v>378</v>
      </c>
      <c r="C1" s="23" t="s">
        <v>3473</v>
      </c>
      <c r="D1" s="23" t="s">
        <v>3474</v>
      </c>
      <c r="E1" s="23" t="s">
        <v>3475</v>
      </c>
      <c r="F1" s="23" t="s">
        <v>2902</v>
      </c>
      <c r="G1" s="23" t="s">
        <v>2432</v>
      </c>
      <c r="H1" s="23" t="s">
        <v>2507</v>
      </c>
      <c r="I1" s="23" t="s">
        <v>3476</v>
      </c>
      <c r="J1" s="23" t="s">
        <v>62</v>
      </c>
      <c r="K1" s="23" t="s">
        <v>3477</v>
      </c>
      <c r="L1" s="23" t="s">
        <v>3478</v>
      </c>
    </row>
    <row r="2">
      <c r="A2" s="25" t="s">
        <v>3479</v>
      </c>
      <c r="B2" s="25" t="s">
        <v>150</v>
      </c>
      <c r="C2" s="25" t="s">
        <v>3480</v>
      </c>
      <c r="D2" s="25" t="s">
        <v>3481</v>
      </c>
      <c r="E2" s="25" t="s">
        <v>3482</v>
      </c>
      <c r="F2" s="25" t="s">
        <v>246</v>
      </c>
      <c r="G2" s="30">
        <v>44781.0</v>
      </c>
      <c r="H2" s="30">
        <v>44810.0</v>
      </c>
      <c r="I2" s="24">
        <v>4.0</v>
      </c>
      <c r="J2" s="25" t="s">
        <v>66</v>
      </c>
      <c r="K2" s="24">
        <v>99.0</v>
      </c>
      <c r="L2" s="25" t="s">
        <v>181</v>
      </c>
    </row>
    <row r="3">
      <c r="A3" s="27" t="s">
        <v>3483</v>
      </c>
      <c r="B3" s="27" t="s">
        <v>150</v>
      </c>
      <c r="C3" s="27" t="s">
        <v>3484</v>
      </c>
      <c r="D3" s="27" t="s">
        <v>3485</v>
      </c>
      <c r="E3" s="27" t="s">
        <v>3486</v>
      </c>
      <c r="F3" s="27" t="s">
        <v>284</v>
      </c>
      <c r="G3" s="33">
        <v>44584.0</v>
      </c>
      <c r="H3" s="33">
        <v>44593.0</v>
      </c>
      <c r="I3" s="26">
        <v>16.0</v>
      </c>
      <c r="J3" s="27" t="s">
        <v>3487</v>
      </c>
      <c r="K3" s="27"/>
      <c r="L3" s="27" t="s">
        <v>187</v>
      </c>
    </row>
    <row r="4">
      <c r="A4" s="25" t="s">
        <v>3488</v>
      </c>
      <c r="B4" s="25" t="s">
        <v>152</v>
      </c>
      <c r="C4" s="25" t="s">
        <v>3489</v>
      </c>
      <c r="D4" s="25" t="s">
        <v>3485</v>
      </c>
      <c r="E4" s="25" t="s">
        <v>3486</v>
      </c>
      <c r="F4" s="25" t="s">
        <v>336</v>
      </c>
      <c r="G4" s="30">
        <v>44671.0</v>
      </c>
      <c r="H4" s="30">
        <v>44683.0</v>
      </c>
      <c r="I4" s="24">
        <v>8.0</v>
      </c>
      <c r="J4" s="25" t="s">
        <v>66</v>
      </c>
      <c r="K4" s="24">
        <v>87.0</v>
      </c>
      <c r="L4" s="25" t="s">
        <v>187</v>
      </c>
    </row>
    <row r="5">
      <c r="A5" s="27" t="s">
        <v>3490</v>
      </c>
      <c r="B5" s="27" t="s">
        <v>152</v>
      </c>
      <c r="C5" s="27" t="s">
        <v>3484</v>
      </c>
      <c r="D5" s="27" t="s">
        <v>3485</v>
      </c>
      <c r="E5" s="27" t="s">
        <v>3486</v>
      </c>
      <c r="F5" s="27" t="s">
        <v>284</v>
      </c>
      <c r="G5" s="33">
        <v>44717.0</v>
      </c>
      <c r="H5" s="33">
        <v>44726.0</v>
      </c>
      <c r="I5" s="26">
        <v>4.0</v>
      </c>
      <c r="J5" s="27" t="s">
        <v>66</v>
      </c>
      <c r="K5" s="26">
        <v>79.0</v>
      </c>
      <c r="L5" s="27" t="s">
        <v>181</v>
      </c>
    </row>
    <row r="6">
      <c r="A6" s="25" t="s">
        <v>3491</v>
      </c>
      <c r="B6" s="25" t="s">
        <v>152</v>
      </c>
      <c r="C6" s="25" t="s">
        <v>3492</v>
      </c>
      <c r="D6" s="25" t="s">
        <v>3485</v>
      </c>
      <c r="E6" s="25" t="s">
        <v>3486</v>
      </c>
      <c r="F6" s="25" t="s">
        <v>234</v>
      </c>
      <c r="G6" s="30">
        <v>44807.0</v>
      </c>
      <c r="H6" s="30">
        <v>44817.0</v>
      </c>
      <c r="I6" s="24">
        <v>24.0</v>
      </c>
      <c r="J6" s="25" t="s">
        <v>66</v>
      </c>
      <c r="K6" s="24">
        <v>73.0</v>
      </c>
      <c r="L6" s="25" t="s">
        <v>181</v>
      </c>
    </row>
    <row r="7">
      <c r="A7" s="27" t="s">
        <v>3493</v>
      </c>
      <c r="B7" s="27" t="s">
        <v>152</v>
      </c>
      <c r="C7" s="27" t="s">
        <v>3480</v>
      </c>
      <c r="D7" s="27" t="s">
        <v>3481</v>
      </c>
      <c r="E7" s="27" t="s">
        <v>3482</v>
      </c>
      <c r="F7" s="27" t="s">
        <v>246</v>
      </c>
      <c r="G7" s="33">
        <v>44624.0</v>
      </c>
      <c r="H7" s="33">
        <v>44653.0</v>
      </c>
      <c r="I7" s="26">
        <v>24.0</v>
      </c>
      <c r="J7" s="27" t="s">
        <v>3487</v>
      </c>
      <c r="K7" s="27"/>
      <c r="L7" s="27" t="s">
        <v>181</v>
      </c>
    </row>
    <row r="8">
      <c r="A8" s="25" t="s">
        <v>3494</v>
      </c>
      <c r="B8" s="25" t="s">
        <v>154</v>
      </c>
      <c r="C8" s="25" t="s">
        <v>3480</v>
      </c>
      <c r="D8" s="25" t="s">
        <v>3481</v>
      </c>
      <c r="E8" s="25" t="s">
        <v>3482</v>
      </c>
      <c r="F8" s="25" t="s">
        <v>246</v>
      </c>
      <c r="G8" s="30">
        <v>44738.0</v>
      </c>
      <c r="H8" s="30">
        <v>44762.0</v>
      </c>
      <c r="I8" s="24">
        <v>32.0</v>
      </c>
      <c r="J8" s="25" t="s">
        <v>66</v>
      </c>
      <c r="K8" s="24">
        <v>95.0</v>
      </c>
      <c r="L8" s="25" t="s">
        <v>187</v>
      </c>
    </row>
    <row r="9">
      <c r="A9" s="27" t="s">
        <v>3495</v>
      </c>
      <c r="B9" s="27" t="s">
        <v>443</v>
      </c>
      <c r="C9" s="27" t="s">
        <v>3496</v>
      </c>
      <c r="D9" s="27" t="s">
        <v>3485</v>
      </c>
      <c r="E9" s="27" t="s">
        <v>3486</v>
      </c>
      <c r="F9" s="27" t="s">
        <v>263</v>
      </c>
      <c r="G9" s="33">
        <v>45544.0</v>
      </c>
      <c r="H9" s="33">
        <v>45547.0</v>
      </c>
      <c r="I9" s="26">
        <v>8.0</v>
      </c>
      <c r="J9" s="27" t="s">
        <v>3497</v>
      </c>
      <c r="K9" s="27"/>
      <c r="L9" s="27" t="s">
        <v>181</v>
      </c>
    </row>
    <row r="10">
      <c r="A10" s="25" t="s">
        <v>3498</v>
      </c>
      <c r="B10" s="25" t="s">
        <v>443</v>
      </c>
      <c r="C10" s="25" t="s">
        <v>3489</v>
      </c>
      <c r="D10" s="25" t="s">
        <v>3485</v>
      </c>
      <c r="E10" s="25" t="s">
        <v>3486</v>
      </c>
      <c r="F10" s="25" t="s">
        <v>336</v>
      </c>
      <c r="G10" s="30">
        <v>44695.0</v>
      </c>
      <c r="H10" s="30">
        <v>44708.0</v>
      </c>
      <c r="I10" s="24">
        <v>4.0</v>
      </c>
      <c r="J10" s="25" t="s">
        <v>66</v>
      </c>
      <c r="K10" s="24">
        <v>62.0</v>
      </c>
      <c r="L10" s="25" t="s">
        <v>187</v>
      </c>
    </row>
    <row r="11">
      <c r="A11" s="27" t="s">
        <v>3499</v>
      </c>
      <c r="B11" s="27" t="s">
        <v>443</v>
      </c>
      <c r="C11" s="27" t="s">
        <v>3484</v>
      </c>
      <c r="D11" s="27" t="s">
        <v>3485</v>
      </c>
      <c r="E11" s="27" t="s">
        <v>3486</v>
      </c>
      <c r="F11" s="27" t="s">
        <v>284</v>
      </c>
      <c r="G11" s="33">
        <v>45447.0</v>
      </c>
      <c r="H11" s="33">
        <v>45474.0</v>
      </c>
      <c r="I11" s="26">
        <v>8.0</v>
      </c>
      <c r="J11" s="27" t="s">
        <v>66</v>
      </c>
      <c r="K11" s="26">
        <v>60.0</v>
      </c>
      <c r="L11" s="27" t="s">
        <v>181</v>
      </c>
    </row>
    <row r="12">
      <c r="A12" s="25" t="s">
        <v>3500</v>
      </c>
      <c r="B12" s="25" t="s">
        <v>453</v>
      </c>
      <c r="C12" s="25" t="s">
        <v>3501</v>
      </c>
      <c r="D12" s="25" t="s">
        <v>3481</v>
      </c>
      <c r="E12" s="25" t="s">
        <v>3502</v>
      </c>
      <c r="F12" s="25" t="s">
        <v>266</v>
      </c>
      <c r="G12" s="30">
        <v>45137.0</v>
      </c>
      <c r="H12" s="30">
        <v>45160.0</v>
      </c>
      <c r="I12" s="24">
        <v>24.0</v>
      </c>
      <c r="J12" s="25" t="s">
        <v>66</v>
      </c>
      <c r="K12" s="24">
        <v>72.0</v>
      </c>
      <c r="L12" s="25" t="s">
        <v>187</v>
      </c>
    </row>
    <row r="13">
      <c r="A13" s="27" t="s">
        <v>3503</v>
      </c>
      <c r="B13" s="27" t="s">
        <v>464</v>
      </c>
      <c r="C13" s="27" t="s">
        <v>3504</v>
      </c>
      <c r="D13" s="27" t="s">
        <v>3481</v>
      </c>
      <c r="E13" s="27" t="s">
        <v>3505</v>
      </c>
      <c r="F13" s="27" t="s">
        <v>229</v>
      </c>
      <c r="G13" s="33">
        <v>45118.0</v>
      </c>
      <c r="H13" s="33">
        <v>45146.0</v>
      </c>
      <c r="I13" s="26">
        <v>40.0</v>
      </c>
      <c r="J13" s="27" t="s">
        <v>66</v>
      </c>
      <c r="K13" s="26">
        <v>88.0</v>
      </c>
      <c r="L13" s="27" t="s">
        <v>181</v>
      </c>
    </row>
    <row r="14">
      <c r="A14" s="25" t="s">
        <v>3506</v>
      </c>
      <c r="B14" s="25" t="s">
        <v>475</v>
      </c>
      <c r="C14" s="25" t="s">
        <v>3507</v>
      </c>
      <c r="D14" s="25" t="s">
        <v>3481</v>
      </c>
      <c r="E14" s="25" t="s">
        <v>3508</v>
      </c>
      <c r="F14" s="25" t="s">
        <v>288</v>
      </c>
      <c r="G14" s="30">
        <v>45453.0</v>
      </c>
      <c r="H14" s="30">
        <v>45471.0</v>
      </c>
      <c r="I14" s="24">
        <v>24.0</v>
      </c>
      <c r="J14" s="25" t="s">
        <v>3487</v>
      </c>
      <c r="K14" s="25"/>
      <c r="L14" s="25" t="s">
        <v>181</v>
      </c>
    </row>
    <row r="15">
      <c r="A15" s="27" t="s">
        <v>3509</v>
      </c>
      <c r="B15" s="27" t="s">
        <v>487</v>
      </c>
      <c r="C15" s="27" t="s">
        <v>3510</v>
      </c>
      <c r="D15" s="27" t="s">
        <v>3485</v>
      </c>
      <c r="E15" s="27" t="s">
        <v>3486</v>
      </c>
      <c r="F15" s="27" t="s">
        <v>329</v>
      </c>
      <c r="G15" s="33">
        <v>45307.0</v>
      </c>
      <c r="H15" s="33">
        <v>45310.0</v>
      </c>
      <c r="I15" s="26">
        <v>24.0</v>
      </c>
      <c r="J15" s="27" t="s">
        <v>66</v>
      </c>
      <c r="K15" s="26">
        <v>90.0</v>
      </c>
      <c r="L15" s="27" t="s">
        <v>181</v>
      </c>
    </row>
    <row r="16">
      <c r="A16" s="25" t="s">
        <v>3511</v>
      </c>
      <c r="B16" s="25" t="s">
        <v>497</v>
      </c>
      <c r="C16" s="25" t="s">
        <v>3504</v>
      </c>
      <c r="D16" s="25" t="s">
        <v>3481</v>
      </c>
      <c r="E16" s="25" t="s">
        <v>3505</v>
      </c>
      <c r="F16" s="25" t="s">
        <v>229</v>
      </c>
      <c r="G16" s="30">
        <v>44860.0</v>
      </c>
      <c r="H16" s="30">
        <v>44871.0</v>
      </c>
      <c r="I16" s="24">
        <v>16.0</v>
      </c>
      <c r="J16" s="25" t="s">
        <v>3497</v>
      </c>
      <c r="K16" s="25"/>
      <c r="L16" s="25" t="s">
        <v>187</v>
      </c>
    </row>
    <row r="17">
      <c r="A17" s="27" t="s">
        <v>3512</v>
      </c>
      <c r="B17" s="27" t="s">
        <v>497</v>
      </c>
      <c r="C17" s="27" t="s">
        <v>3513</v>
      </c>
      <c r="D17" s="27" t="s">
        <v>3481</v>
      </c>
      <c r="E17" s="27" t="s">
        <v>3514</v>
      </c>
      <c r="F17" s="27" t="s">
        <v>313</v>
      </c>
      <c r="G17" s="33">
        <v>44918.0</v>
      </c>
      <c r="H17" s="33">
        <v>44937.0</v>
      </c>
      <c r="I17" s="26">
        <v>24.0</v>
      </c>
      <c r="J17" s="27" t="s">
        <v>66</v>
      </c>
      <c r="K17" s="26">
        <v>82.0</v>
      </c>
      <c r="L17" s="27" t="s">
        <v>187</v>
      </c>
    </row>
    <row r="18">
      <c r="A18" s="25" t="s">
        <v>3515</v>
      </c>
      <c r="B18" s="25" t="s">
        <v>497</v>
      </c>
      <c r="C18" s="25" t="s">
        <v>3489</v>
      </c>
      <c r="D18" s="25" t="s">
        <v>3485</v>
      </c>
      <c r="E18" s="25" t="s">
        <v>3486</v>
      </c>
      <c r="F18" s="25" t="s">
        <v>336</v>
      </c>
      <c r="G18" s="30">
        <v>44864.0</v>
      </c>
      <c r="H18" s="30">
        <v>44891.0</v>
      </c>
      <c r="I18" s="24">
        <v>24.0</v>
      </c>
      <c r="J18" s="25" t="s">
        <v>66</v>
      </c>
      <c r="K18" s="24">
        <v>94.0</v>
      </c>
      <c r="L18" s="25" t="s">
        <v>187</v>
      </c>
    </row>
    <row r="19">
      <c r="A19" s="27" t="s">
        <v>3516</v>
      </c>
      <c r="B19" s="27" t="s">
        <v>506</v>
      </c>
      <c r="C19" s="27" t="s">
        <v>3517</v>
      </c>
      <c r="D19" s="27" t="s">
        <v>3481</v>
      </c>
      <c r="E19" s="27" t="s">
        <v>3518</v>
      </c>
      <c r="F19" s="27" t="s">
        <v>238</v>
      </c>
      <c r="G19" s="33">
        <v>45080.0</v>
      </c>
      <c r="H19" s="33">
        <v>45109.0</v>
      </c>
      <c r="I19" s="26">
        <v>16.0</v>
      </c>
      <c r="J19" s="27" t="s">
        <v>66</v>
      </c>
      <c r="K19" s="26">
        <v>89.0</v>
      </c>
      <c r="L19" s="27" t="s">
        <v>187</v>
      </c>
    </row>
    <row r="20">
      <c r="A20" s="25" t="s">
        <v>3519</v>
      </c>
      <c r="B20" s="25" t="s">
        <v>506</v>
      </c>
      <c r="C20" s="25" t="s">
        <v>3480</v>
      </c>
      <c r="D20" s="25" t="s">
        <v>3481</v>
      </c>
      <c r="E20" s="25" t="s">
        <v>3482</v>
      </c>
      <c r="F20" s="25" t="s">
        <v>246</v>
      </c>
      <c r="G20" s="30">
        <v>44898.0</v>
      </c>
      <c r="H20" s="30">
        <v>44927.0</v>
      </c>
      <c r="I20" s="24">
        <v>32.0</v>
      </c>
      <c r="J20" s="25" t="s">
        <v>66</v>
      </c>
      <c r="K20" s="24">
        <v>100.0</v>
      </c>
      <c r="L20" s="25" t="s">
        <v>181</v>
      </c>
    </row>
    <row r="21" ht="15.75" customHeight="1">
      <c r="A21" s="27" t="s">
        <v>3520</v>
      </c>
      <c r="B21" s="27" t="s">
        <v>506</v>
      </c>
      <c r="C21" s="27" t="s">
        <v>3484</v>
      </c>
      <c r="D21" s="27" t="s">
        <v>3485</v>
      </c>
      <c r="E21" s="27" t="s">
        <v>3486</v>
      </c>
      <c r="F21" s="27" t="s">
        <v>284</v>
      </c>
      <c r="G21" s="33">
        <v>45261.0</v>
      </c>
      <c r="H21" s="33">
        <v>45279.0</v>
      </c>
      <c r="I21" s="26">
        <v>40.0</v>
      </c>
      <c r="J21" s="27" t="s">
        <v>66</v>
      </c>
      <c r="K21" s="26">
        <v>70.0</v>
      </c>
      <c r="L21" s="27" t="s">
        <v>181</v>
      </c>
    </row>
    <row r="22" ht="15.75" customHeight="1">
      <c r="A22" s="25" t="s">
        <v>3521</v>
      </c>
      <c r="B22" s="25" t="s">
        <v>515</v>
      </c>
      <c r="C22" s="25" t="s">
        <v>3507</v>
      </c>
      <c r="D22" s="25" t="s">
        <v>3481</v>
      </c>
      <c r="E22" s="25" t="s">
        <v>3508</v>
      </c>
      <c r="F22" s="25" t="s">
        <v>288</v>
      </c>
      <c r="G22" s="30">
        <v>45373.0</v>
      </c>
      <c r="H22" s="30">
        <v>45376.0</v>
      </c>
      <c r="I22" s="24">
        <v>4.0</v>
      </c>
      <c r="J22" s="25" t="s">
        <v>3497</v>
      </c>
      <c r="K22" s="25"/>
      <c r="L22" s="25" t="s">
        <v>181</v>
      </c>
    </row>
    <row r="23" ht="15.75" customHeight="1">
      <c r="A23" s="27" t="s">
        <v>3522</v>
      </c>
      <c r="B23" s="27" t="s">
        <v>515</v>
      </c>
      <c r="C23" s="27" t="s">
        <v>3489</v>
      </c>
      <c r="D23" s="27" t="s">
        <v>3485</v>
      </c>
      <c r="E23" s="27" t="s">
        <v>3486</v>
      </c>
      <c r="F23" s="27" t="s">
        <v>336</v>
      </c>
      <c r="G23" s="33">
        <v>45626.0</v>
      </c>
      <c r="H23" s="33">
        <v>45630.0</v>
      </c>
      <c r="I23" s="26">
        <v>16.0</v>
      </c>
      <c r="J23" s="27" t="s">
        <v>66</v>
      </c>
      <c r="K23" s="26">
        <v>95.0</v>
      </c>
      <c r="L23" s="27" t="s">
        <v>181</v>
      </c>
    </row>
    <row r="24" ht="15.75" customHeight="1">
      <c r="A24" s="25" t="s">
        <v>3523</v>
      </c>
      <c r="B24" s="25" t="s">
        <v>523</v>
      </c>
      <c r="C24" s="25" t="s">
        <v>3504</v>
      </c>
      <c r="D24" s="25" t="s">
        <v>3481</v>
      </c>
      <c r="E24" s="25" t="s">
        <v>3505</v>
      </c>
      <c r="F24" s="25" t="s">
        <v>229</v>
      </c>
      <c r="G24" s="30">
        <v>45247.0</v>
      </c>
      <c r="H24" s="30">
        <v>45263.0</v>
      </c>
      <c r="I24" s="24">
        <v>40.0</v>
      </c>
      <c r="J24" s="25" t="s">
        <v>66</v>
      </c>
      <c r="K24" s="24">
        <v>83.0</v>
      </c>
      <c r="L24" s="25" t="s">
        <v>187</v>
      </c>
    </row>
    <row r="25" ht="15.75" customHeight="1">
      <c r="A25" s="27" t="s">
        <v>3524</v>
      </c>
      <c r="B25" s="27" t="s">
        <v>523</v>
      </c>
      <c r="C25" s="27" t="s">
        <v>3489</v>
      </c>
      <c r="D25" s="27" t="s">
        <v>3485</v>
      </c>
      <c r="E25" s="27" t="s">
        <v>3486</v>
      </c>
      <c r="F25" s="27" t="s">
        <v>336</v>
      </c>
      <c r="G25" s="33">
        <v>45633.0</v>
      </c>
      <c r="H25" s="33">
        <v>45655.0</v>
      </c>
      <c r="I25" s="26">
        <v>8.0</v>
      </c>
      <c r="J25" s="27" t="s">
        <v>3497</v>
      </c>
      <c r="K25" s="27"/>
      <c r="L25" s="27" t="s">
        <v>187</v>
      </c>
    </row>
    <row r="26" ht="15.75" customHeight="1">
      <c r="A26" s="25" t="s">
        <v>3525</v>
      </c>
      <c r="B26" s="25" t="s">
        <v>535</v>
      </c>
      <c r="C26" s="25" t="s">
        <v>3489</v>
      </c>
      <c r="D26" s="25" t="s">
        <v>3485</v>
      </c>
      <c r="E26" s="25" t="s">
        <v>3486</v>
      </c>
      <c r="F26" s="25" t="s">
        <v>336</v>
      </c>
      <c r="G26" s="30">
        <v>45491.0</v>
      </c>
      <c r="H26" s="30">
        <v>45496.0</v>
      </c>
      <c r="I26" s="24">
        <v>8.0</v>
      </c>
      <c r="J26" s="25" t="s">
        <v>3497</v>
      </c>
      <c r="K26" s="25"/>
      <c r="L26" s="25" t="s">
        <v>181</v>
      </c>
    </row>
    <row r="27" ht="15.75" customHeight="1">
      <c r="A27" s="27" t="s">
        <v>3526</v>
      </c>
      <c r="B27" s="27" t="s">
        <v>535</v>
      </c>
      <c r="C27" s="27" t="s">
        <v>3501</v>
      </c>
      <c r="D27" s="27" t="s">
        <v>3481</v>
      </c>
      <c r="E27" s="27" t="s">
        <v>3502</v>
      </c>
      <c r="F27" s="27" t="s">
        <v>266</v>
      </c>
      <c r="G27" s="33">
        <v>45595.0</v>
      </c>
      <c r="H27" s="33">
        <v>45621.0</v>
      </c>
      <c r="I27" s="26">
        <v>8.0</v>
      </c>
      <c r="J27" s="27" t="s">
        <v>66</v>
      </c>
      <c r="K27" s="26">
        <v>64.0</v>
      </c>
      <c r="L27" s="27" t="s">
        <v>187</v>
      </c>
    </row>
    <row r="28" ht="15.75" customHeight="1">
      <c r="A28" s="25" t="s">
        <v>3527</v>
      </c>
      <c r="B28" s="25" t="s">
        <v>535</v>
      </c>
      <c r="C28" s="25" t="s">
        <v>3480</v>
      </c>
      <c r="D28" s="25" t="s">
        <v>3481</v>
      </c>
      <c r="E28" s="25" t="s">
        <v>3482</v>
      </c>
      <c r="F28" s="25" t="s">
        <v>246</v>
      </c>
      <c r="G28" s="30">
        <v>45057.0</v>
      </c>
      <c r="H28" s="30">
        <v>45082.0</v>
      </c>
      <c r="I28" s="24">
        <v>8.0</v>
      </c>
      <c r="J28" s="25" t="s">
        <v>66</v>
      </c>
      <c r="K28" s="24">
        <v>94.0</v>
      </c>
      <c r="L28" s="25" t="s">
        <v>181</v>
      </c>
    </row>
    <row r="29" ht="15.75" customHeight="1">
      <c r="A29" s="27" t="s">
        <v>3528</v>
      </c>
      <c r="B29" s="27" t="s">
        <v>535</v>
      </c>
      <c r="C29" s="27" t="s">
        <v>3529</v>
      </c>
      <c r="D29" s="27" t="s">
        <v>3481</v>
      </c>
      <c r="E29" s="27" t="s">
        <v>3530</v>
      </c>
      <c r="F29" s="27" t="s">
        <v>333</v>
      </c>
      <c r="G29" s="33">
        <v>44953.0</v>
      </c>
      <c r="H29" s="33">
        <v>44954.0</v>
      </c>
      <c r="I29" s="26">
        <v>16.0</v>
      </c>
      <c r="J29" s="27" t="s">
        <v>66</v>
      </c>
      <c r="K29" s="26">
        <v>67.0</v>
      </c>
      <c r="L29" s="27" t="s">
        <v>181</v>
      </c>
    </row>
    <row r="30" ht="15.75" customHeight="1">
      <c r="A30" s="25" t="s">
        <v>3531</v>
      </c>
      <c r="B30" s="25" t="s">
        <v>544</v>
      </c>
      <c r="C30" s="25" t="s">
        <v>3507</v>
      </c>
      <c r="D30" s="25" t="s">
        <v>3481</v>
      </c>
      <c r="E30" s="25" t="s">
        <v>3508</v>
      </c>
      <c r="F30" s="25" t="s">
        <v>288</v>
      </c>
      <c r="G30" s="30">
        <v>44708.0</v>
      </c>
      <c r="H30" s="30">
        <v>44711.0</v>
      </c>
      <c r="I30" s="24">
        <v>4.0</v>
      </c>
      <c r="J30" s="25" t="s">
        <v>66</v>
      </c>
      <c r="K30" s="24">
        <v>87.0</v>
      </c>
      <c r="L30" s="25" t="s">
        <v>187</v>
      </c>
    </row>
    <row r="31" ht="15.75" customHeight="1">
      <c r="A31" s="27" t="s">
        <v>3532</v>
      </c>
      <c r="B31" s="27" t="s">
        <v>544</v>
      </c>
      <c r="C31" s="27" t="s">
        <v>3501</v>
      </c>
      <c r="D31" s="27" t="s">
        <v>3481</v>
      </c>
      <c r="E31" s="27" t="s">
        <v>3502</v>
      </c>
      <c r="F31" s="27" t="s">
        <v>266</v>
      </c>
      <c r="G31" s="33">
        <v>45387.0</v>
      </c>
      <c r="H31" s="33">
        <v>45388.0</v>
      </c>
      <c r="I31" s="26">
        <v>16.0</v>
      </c>
      <c r="J31" s="27" t="s">
        <v>66</v>
      </c>
      <c r="K31" s="26">
        <v>81.0</v>
      </c>
      <c r="L31" s="27" t="s">
        <v>187</v>
      </c>
    </row>
    <row r="32" ht="15.75" customHeight="1">
      <c r="A32" s="25" t="s">
        <v>3533</v>
      </c>
      <c r="B32" s="25" t="s">
        <v>552</v>
      </c>
      <c r="C32" s="25" t="s">
        <v>3529</v>
      </c>
      <c r="D32" s="25" t="s">
        <v>3481</v>
      </c>
      <c r="E32" s="25" t="s">
        <v>3530</v>
      </c>
      <c r="F32" s="25" t="s">
        <v>333</v>
      </c>
      <c r="G32" s="30">
        <v>45541.0</v>
      </c>
      <c r="H32" s="30">
        <v>45562.0</v>
      </c>
      <c r="I32" s="24">
        <v>4.0</v>
      </c>
      <c r="J32" s="25" t="s">
        <v>66</v>
      </c>
      <c r="K32" s="24">
        <v>91.0</v>
      </c>
      <c r="L32" s="25" t="s">
        <v>181</v>
      </c>
    </row>
    <row r="33" ht="15.75" customHeight="1">
      <c r="A33" s="27" t="s">
        <v>3534</v>
      </c>
      <c r="B33" s="27" t="s">
        <v>552</v>
      </c>
      <c r="C33" s="27" t="s">
        <v>3510</v>
      </c>
      <c r="D33" s="27" t="s">
        <v>3485</v>
      </c>
      <c r="E33" s="27" t="s">
        <v>3486</v>
      </c>
      <c r="F33" s="27" t="s">
        <v>329</v>
      </c>
      <c r="G33" s="33">
        <v>45585.0</v>
      </c>
      <c r="H33" s="33">
        <v>45596.0</v>
      </c>
      <c r="I33" s="26">
        <v>16.0</v>
      </c>
      <c r="J33" s="27" t="s">
        <v>66</v>
      </c>
      <c r="K33" s="26">
        <v>90.0</v>
      </c>
      <c r="L33" s="27" t="s">
        <v>187</v>
      </c>
    </row>
    <row r="34" ht="15.75" customHeight="1">
      <c r="A34" s="25" t="s">
        <v>3535</v>
      </c>
      <c r="B34" s="25" t="s">
        <v>552</v>
      </c>
      <c r="C34" s="25" t="s">
        <v>3517</v>
      </c>
      <c r="D34" s="25" t="s">
        <v>3481</v>
      </c>
      <c r="E34" s="25" t="s">
        <v>3518</v>
      </c>
      <c r="F34" s="25" t="s">
        <v>238</v>
      </c>
      <c r="G34" s="30">
        <v>44762.0</v>
      </c>
      <c r="H34" s="30">
        <v>44776.0</v>
      </c>
      <c r="I34" s="24">
        <v>32.0</v>
      </c>
      <c r="J34" s="25" t="s">
        <v>66</v>
      </c>
      <c r="K34" s="24">
        <v>82.0</v>
      </c>
      <c r="L34" s="25" t="s">
        <v>187</v>
      </c>
    </row>
    <row r="35" ht="15.75" customHeight="1">
      <c r="A35" s="27" t="s">
        <v>3536</v>
      </c>
      <c r="B35" s="27" t="s">
        <v>562</v>
      </c>
      <c r="C35" s="27" t="s">
        <v>3517</v>
      </c>
      <c r="D35" s="27" t="s">
        <v>3481</v>
      </c>
      <c r="E35" s="27" t="s">
        <v>3518</v>
      </c>
      <c r="F35" s="27" t="s">
        <v>238</v>
      </c>
      <c r="G35" s="33">
        <v>44641.0</v>
      </c>
      <c r="H35" s="33">
        <v>44657.0</v>
      </c>
      <c r="I35" s="26">
        <v>4.0</v>
      </c>
      <c r="J35" s="27" t="s">
        <v>3497</v>
      </c>
      <c r="K35" s="27"/>
      <c r="L35" s="27" t="s">
        <v>187</v>
      </c>
    </row>
    <row r="36" ht="15.75" customHeight="1">
      <c r="A36" s="25" t="s">
        <v>3537</v>
      </c>
      <c r="B36" s="25" t="s">
        <v>571</v>
      </c>
      <c r="C36" s="25" t="s">
        <v>3538</v>
      </c>
      <c r="D36" s="25" t="s">
        <v>3485</v>
      </c>
      <c r="E36" s="25" t="s">
        <v>3486</v>
      </c>
      <c r="F36" s="25" t="s">
        <v>234</v>
      </c>
      <c r="G36" s="30">
        <v>45064.0</v>
      </c>
      <c r="H36" s="30">
        <v>45088.0</v>
      </c>
      <c r="I36" s="24">
        <v>40.0</v>
      </c>
      <c r="J36" s="25" t="s">
        <v>3497</v>
      </c>
      <c r="K36" s="25"/>
      <c r="L36" s="25" t="s">
        <v>181</v>
      </c>
    </row>
    <row r="37" ht="15.75" customHeight="1">
      <c r="A37" s="27" t="s">
        <v>3539</v>
      </c>
      <c r="B37" s="27" t="s">
        <v>571</v>
      </c>
      <c r="C37" s="27" t="s">
        <v>3480</v>
      </c>
      <c r="D37" s="27" t="s">
        <v>3481</v>
      </c>
      <c r="E37" s="27" t="s">
        <v>3482</v>
      </c>
      <c r="F37" s="27" t="s">
        <v>246</v>
      </c>
      <c r="G37" s="33">
        <v>45493.0</v>
      </c>
      <c r="H37" s="33">
        <v>45506.0</v>
      </c>
      <c r="I37" s="26">
        <v>8.0</v>
      </c>
      <c r="J37" s="27" t="s">
        <v>3497</v>
      </c>
      <c r="K37" s="27"/>
      <c r="L37" s="27" t="s">
        <v>187</v>
      </c>
    </row>
    <row r="38" ht="15.75" customHeight="1">
      <c r="A38" s="25" t="s">
        <v>3540</v>
      </c>
      <c r="B38" s="25" t="s">
        <v>571</v>
      </c>
      <c r="C38" s="25" t="s">
        <v>3501</v>
      </c>
      <c r="D38" s="25" t="s">
        <v>3481</v>
      </c>
      <c r="E38" s="25" t="s">
        <v>3502</v>
      </c>
      <c r="F38" s="25" t="s">
        <v>266</v>
      </c>
      <c r="G38" s="30">
        <v>44632.0</v>
      </c>
      <c r="H38" s="30">
        <v>44643.0</v>
      </c>
      <c r="I38" s="24">
        <v>40.0</v>
      </c>
      <c r="J38" s="25" t="s">
        <v>66</v>
      </c>
      <c r="K38" s="24">
        <v>88.0</v>
      </c>
      <c r="L38" s="25" t="s">
        <v>181</v>
      </c>
    </row>
    <row r="39" ht="15.75" customHeight="1">
      <c r="A39" s="27" t="s">
        <v>3541</v>
      </c>
      <c r="B39" s="27" t="s">
        <v>581</v>
      </c>
      <c r="C39" s="27" t="s">
        <v>3517</v>
      </c>
      <c r="D39" s="27" t="s">
        <v>3481</v>
      </c>
      <c r="E39" s="27" t="s">
        <v>3518</v>
      </c>
      <c r="F39" s="27" t="s">
        <v>238</v>
      </c>
      <c r="G39" s="33">
        <v>44619.0</v>
      </c>
      <c r="H39" s="33">
        <v>44649.0</v>
      </c>
      <c r="I39" s="26">
        <v>4.0</v>
      </c>
      <c r="J39" s="27" t="s">
        <v>66</v>
      </c>
      <c r="K39" s="26">
        <v>92.0</v>
      </c>
      <c r="L39" s="27" t="s">
        <v>181</v>
      </c>
    </row>
    <row r="40" ht="15.75" customHeight="1">
      <c r="A40" s="25" t="s">
        <v>3542</v>
      </c>
      <c r="B40" s="25" t="s">
        <v>581</v>
      </c>
      <c r="C40" s="25" t="s">
        <v>3480</v>
      </c>
      <c r="D40" s="25" t="s">
        <v>3481</v>
      </c>
      <c r="E40" s="25" t="s">
        <v>3482</v>
      </c>
      <c r="F40" s="25" t="s">
        <v>246</v>
      </c>
      <c r="G40" s="30">
        <v>45510.0</v>
      </c>
      <c r="H40" s="30">
        <v>45519.0</v>
      </c>
      <c r="I40" s="24">
        <v>24.0</v>
      </c>
      <c r="J40" s="25" t="s">
        <v>66</v>
      </c>
      <c r="K40" s="24">
        <v>94.0</v>
      </c>
      <c r="L40" s="25" t="s">
        <v>181</v>
      </c>
    </row>
    <row r="41" ht="15.75" customHeight="1">
      <c r="A41" s="27" t="s">
        <v>3543</v>
      </c>
      <c r="B41" s="27" t="s">
        <v>581</v>
      </c>
      <c r="C41" s="27" t="s">
        <v>3496</v>
      </c>
      <c r="D41" s="27" t="s">
        <v>3485</v>
      </c>
      <c r="E41" s="27" t="s">
        <v>3486</v>
      </c>
      <c r="F41" s="27" t="s">
        <v>263</v>
      </c>
      <c r="G41" s="33">
        <v>45080.0</v>
      </c>
      <c r="H41" s="33">
        <v>45099.0</v>
      </c>
      <c r="I41" s="26">
        <v>32.0</v>
      </c>
      <c r="J41" s="27" t="s">
        <v>66</v>
      </c>
      <c r="K41" s="26">
        <v>91.0</v>
      </c>
      <c r="L41" s="27" t="s">
        <v>181</v>
      </c>
    </row>
    <row r="42" ht="15.75" customHeight="1">
      <c r="A42" s="25" t="s">
        <v>3544</v>
      </c>
      <c r="B42" s="25" t="s">
        <v>581</v>
      </c>
      <c r="C42" s="25" t="s">
        <v>3504</v>
      </c>
      <c r="D42" s="25" t="s">
        <v>3481</v>
      </c>
      <c r="E42" s="25" t="s">
        <v>3505</v>
      </c>
      <c r="F42" s="25" t="s">
        <v>229</v>
      </c>
      <c r="G42" s="30">
        <v>45487.0</v>
      </c>
      <c r="H42" s="30">
        <v>45497.0</v>
      </c>
      <c r="I42" s="24">
        <v>4.0</v>
      </c>
      <c r="J42" s="25" t="s">
        <v>3497</v>
      </c>
      <c r="K42" s="25"/>
      <c r="L42" s="25" t="s">
        <v>187</v>
      </c>
    </row>
    <row r="43" ht="15.75" customHeight="1">
      <c r="A43" s="27" t="s">
        <v>3545</v>
      </c>
      <c r="B43" s="27" t="s">
        <v>581</v>
      </c>
      <c r="C43" s="27" t="s">
        <v>3492</v>
      </c>
      <c r="D43" s="27" t="s">
        <v>3485</v>
      </c>
      <c r="E43" s="27" t="s">
        <v>3486</v>
      </c>
      <c r="F43" s="27" t="s">
        <v>234</v>
      </c>
      <c r="G43" s="33">
        <v>45240.0</v>
      </c>
      <c r="H43" s="33">
        <v>45254.0</v>
      </c>
      <c r="I43" s="26">
        <v>8.0</v>
      </c>
      <c r="J43" s="27" t="s">
        <v>66</v>
      </c>
      <c r="K43" s="26">
        <v>64.0</v>
      </c>
      <c r="L43" s="27" t="s">
        <v>181</v>
      </c>
    </row>
    <row r="44" ht="15.75" customHeight="1">
      <c r="A44" s="25" t="s">
        <v>3546</v>
      </c>
      <c r="B44" s="25" t="s">
        <v>589</v>
      </c>
      <c r="C44" s="25" t="s">
        <v>3547</v>
      </c>
      <c r="D44" s="25" t="s">
        <v>3485</v>
      </c>
      <c r="E44" s="25" t="s">
        <v>3486</v>
      </c>
      <c r="F44" s="25" t="s">
        <v>340</v>
      </c>
      <c r="G44" s="30">
        <v>44923.0</v>
      </c>
      <c r="H44" s="30">
        <v>44948.0</v>
      </c>
      <c r="I44" s="24">
        <v>16.0</v>
      </c>
      <c r="J44" s="25" t="s">
        <v>66</v>
      </c>
      <c r="K44" s="24">
        <v>71.0</v>
      </c>
      <c r="L44" s="25" t="s">
        <v>181</v>
      </c>
    </row>
    <row r="45" ht="15.75" customHeight="1">
      <c r="A45" s="27" t="s">
        <v>3548</v>
      </c>
      <c r="B45" s="27" t="s">
        <v>589</v>
      </c>
      <c r="C45" s="27" t="s">
        <v>3529</v>
      </c>
      <c r="D45" s="27" t="s">
        <v>3481</v>
      </c>
      <c r="E45" s="27" t="s">
        <v>3530</v>
      </c>
      <c r="F45" s="27" t="s">
        <v>333</v>
      </c>
      <c r="G45" s="33">
        <v>45258.0</v>
      </c>
      <c r="H45" s="33">
        <v>45286.0</v>
      </c>
      <c r="I45" s="26">
        <v>24.0</v>
      </c>
      <c r="J45" s="27" t="s">
        <v>66</v>
      </c>
      <c r="K45" s="26">
        <v>74.0</v>
      </c>
      <c r="L45" s="27" t="s">
        <v>187</v>
      </c>
    </row>
    <row r="46" ht="15.75" customHeight="1">
      <c r="A46" s="25" t="s">
        <v>3549</v>
      </c>
      <c r="B46" s="25" t="s">
        <v>589</v>
      </c>
      <c r="C46" s="25" t="s">
        <v>3496</v>
      </c>
      <c r="D46" s="25" t="s">
        <v>3485</v>
      </c>
      <c r="E46" s="25" t="s">
        <v>3486</v>
      </c>
      <c r="F46" s="25" t="s">
        <v>263</v>
      </c>
      <c r="G46" s="30">
        <v>44799.0</v>
      </c>
      <c r="H46" s="30">
        <v>44803.0</v>
      </c>
      <c r="I46" s="24">
        <v>8.0</v>
      </c>
      <c r="J46" s="25" t="s">
        <v>66</v>
      </c>
      <c r="K46" s="24">
        <v>98.0</v>
      </c>
      <c r="L46" s="25" t="s">
        <v>181</v>
      </c>
    </row>
    <row r="47" ht="15.75" customHeight="1">
      <c r="A47" s="27" t="s">
        <v>3550</v>
      </c>
      <c r="B47" s="27" t="s">
        <v>589</v>
      </c>
      <c r="C47" s="27" t="s">
        <v>3517</v>
      </c>
      <c r="D47" s="27" t="s">
        <v>3481</v>
      </c>
      <c r="E47" s="27" t="s">
        <v>3518</v>
      </c>
      <c r="F47" s="27" t="s">
        <v>238</v>
      </c>
      <c r="G47" s="33">
        <v>45459.0</v>
      </c>
      <c r="H47" s="33">
        <v>45475.0</v>
      </c>
      <c r="I47" s="26">
        <v>40.0</v>
      </c>
      <c r="J47" s="27" t="s">
        <v>66</v>
      </c>
      <c r="K47" s="26">
        <v>87.0</v>
      </c>
      <c r="L47" s="27" t="s">
        <v>181</v>
      </c>
    </row>
    <row r="48" ht="15.75" customHeight="1">
      <c r="A48" s="25" t="s">
        <v>3551</v>
      </c>
      <c r="B48" s="25" t="s">
        <v>597</v>
      </c>
      <c r="C48" s="25" t="s">
        <v>3489</v>
      </c>
      <c r="D48" s="25" t="s">
        <v>3485</v>
      </c>
      <c r="E48" s="25" t="s">
        <v>3486</v>
      </c>
      <c r="F48" s="25" t="s">
        <v>336</v>
      </c>
      <c r="G48" s="30">
        <v>45419.0</v>
      </c>
      <c r="H48" s="30">
        <v>45435.0</v>
      </c>
      <c r="I48" s="24">
        <v>24.0</v>
      </c>
      <c r="J48" s="25" t="s">
        <v>66</v>
      </c>
      <c r="K48" s="24">
        <v>95.0</v>
      </c>
      <c r="L48" s="25" t="s">
        <v>187</v>
      </c>
    </row>
    <row r="49" ht="15.75" customHeight="1">
      <c r="A49" s="27" t="s">
        <v>3552</v>
      </c>
      <c r="B49" s="27" t="s">
        <v>597</v>
      </c>
      <c r="C49" s="27" t="s">
        <v>3513</v>
      </c>
      <c r="D49" s="27" t="s">
        <v>3481</v>
      </c>
      <c r="E49" s="27" t="s">
        <v>3514</v>
      </c>
      <c r="F49" s="27" t="s">
        <v>313</v>
      </c>
      <c r="G49" s="33">
        <v>44699.0</v>
      </c>
      <c r="H49" s="33">
        <v>44702.0</v>
      </c>
      <c r="I49" s="26">
        <v>40.0</v>
      </c>
      <c r="J49" s="27" t="s">
        <v>66</v>
      </c>
      <c r="K49" s="26">
        <v>82.0</v>
      </c>
      <c r="L49" s="27" t="s">
        <v>187</v>
      </c>
    </row>
    <row r="50" ht="15.75" customHeight="1">
      <c r="A50" s="25" t="s">
        <v>3553</v>
      </c>
      <c r="B50" s="25" t="s">
        <v>597</v>
      </c>
      <c r="C50" s="25" t="s">
        <v>3504</v>
      </c>
      <c r="D50" s="25" t="s">
        <v>3481</v>
      </c>
      <c r="E50" s="25" t="s">
        <v>3505</v>
      </c>
      <c r="F50" s="25" t="s">
        <v>229</v>
      </c>
      <c r="G50" s="30">
        <v>45383.0</v>
      </c>
      <c r="H50" s="30">
        <v>45400.0</v>
      </c>
      <c r="I50" s="24">
        <v>8.0</v>
      </c>
      <c r="J50" s="25" t="s">
        <v>3487</v>
      </c>
      <c r="K50" s="25"/>
      <c r="L50" s="25" t="s">
        <v>181</v>
      </c>
    </row>
    <row r="51" ht="15.75" customHeight="1">
      <c r="A51" s="27" t="s">
        <v>3554</v>
      </c>
      <c r="B51" s="27" t="s">
        <v>597</v>
      </c>
      <c r="C51" s="27" t="s">
        <v>3538</v>
      </c>
      <c r="D51" s="27" t="s">
        <v>3485</v>
      </c>
      <c r="E51" s="27" t="s">
        <v>3486</v>
      </c>
      <c r="F51" s="27" t="s">
        <v>234</v>
      </c>
      <c r="G51" s="33">
        <v>44611.0</v>
      </c>
      <c r="H51" s="33">
        <v>44617.0</v>
      </c>
      <c r="I51" s="26">
        <v>8.0</v>
      </c>
      <c r="J51" s="27" t="s">
        <v>66</v>
      </c>
      <c r="K51" s="26">
        <v>72.0</v>
      </c>
      <c r="L51" s="27" t="s">
        <v>187</v>
      </c>
    </row>
    <row r="52" ht="15.75" customHeight="1">
      <c r="A52" s="25" t="s">
        <v>3555</v>
      </c>
      <c r="B52" s="25" t="s">
        <v>597</v>
      </c>
      <c r="C52" s="25" t="s">
        <v>3480</v>
      </c>
      <c r="D52" s="25" t="s">
        <v>3481</v>
      </c>
      <c r="E52" s="25" t="s">
        <v>3482</v>
      </c>
      <c r="F52" s="25" t="s">
        <v>246</v>
      </c>
      <c r="G52" s="30">
        <v>45326.0</v>
      </c>
      <c r="H52" s="30">
        <v>45344.0</v>
      </c>
      <c r="I52" s="24">
        <v>4.0</v>
      </c>
      <c r="J52" s="25" t="s">
        <v>66</v>
      </c>
      <c r="K52" s="24">
        <v>71.0</v>
      </c>
      <c r="L52" s="25" t="s">
        <v>187</v>
      </c>
    </row>
    <row r="53" ht="15.75" customHeight="1">
      <c r="A53" s="27" t="s">
        <v>3556</v>
      </c>
      <c r="B53" s="27" t="s">
        <v>605</v>
      </c>
      <c r="C53" s="27" t="s">
        <v>3538</v>
      </c>
      <c r="D53" s="27" t="s">
        <v>3485</v>
      </c>
      <c r="E53" s="27" t="s">
        <v>3486</v>
      </c>
      <c r="F53" s="27" t="s">
        <v>234</v>
      </c>
      <c r="G53" s="33">
        <v>44643.0</v>
      </c>
      <c r="H53" s="33">
        <v>44651.0</v>
      </c>
      <c r="I53" s="26">
        <v>16.0</v>
      </c>
      <c r="J53" s="27" t="s">
        <v>66</v>
      </c>
      <c r="K53" s="26">
        <v>68.0</v>
      </c>
      <c r="L53" s="27" t="s">
        <v>187</v>
      </c>
    </row>
    <row r="54" ht="15.75" customHeight="1">
      <c r="A54" s="25" t="s">
        <v>3557</v>
      </c>
      <c r="B54" s="25" t="s">
        <v>613</v>
      </c>
      <c r="C54" s="25" t="s">
        <v>3513</v>
      </c>
      <c r="D54" s="25" t="s">
        <v>3481</v>
      </c>
      <c r="E54" s="25" t="s">
        <v>3514</v>
      </c>
      <c r="F54" s="25" t="s">
        <v>313</v>
      </c>
      <c r="G54" s="30">
        <v>44684.0</v>
      </c>
      <c r="H54" s="30">
        <v>44701.0</v>
      </c>
      <c r="I54" s="24">
        <v>4.0</v>
      </c>
      <c r="J54" s="25" t="s">
        <v>3497</v>
      </c>
      <c r="K54" s="25"/>
      <c r="L54" s="25" t="s">
        <v>187</v>
      </c>
    </row>
    <row r="55" ht="15.75" customHeight="1">
      <c r="A55" s="27" t="s">
        <v>3558</v>
      </c>
      <c r="B55" s="27" t="s">
        <v>620</v>
      </c>
      <c r="C55" s="27" t="s">
        <v>3538</v>
      </c>
      <c r="D55" s="27" t="s">
        <v>3485</v>
      </c>
      <c r="E55" s="27" t="s">
        <v>3486</v>
      </c>
      <c r="F55" s="27" t="s">
        <v>234</v>
      </c>
      <c r="G55" s="33">
        <v>45061.0</v>
      </c>
      <c r="H55" s="33">
        <v>45089.0</v>
      </c>
      <c r="I55" s="26">
        <v>8.0</v>
      </c>
      <c r="J55" s="27" t="s">
        <v>66</v>
      </c>
      <c r="K55" s="26">
        <v>72.0</v>
      </c>
      <c r="L55" s="27" t="s">
        <v>187</v>
      </c>
    </row>
    <row r="56" ht="15.75" customHeight="1">
      <c r="A56" s="25" t="s">
        <v>3559</v>
      </c>
      <c r="B56" s="25" t="s">
        <v>620</v>
      </c>
      <c r="C56" s="25" t="s">
        <v>3496</v>
      </c>
      <c r="D56" s="25" t="s">
        <v>3485</v>
      </c>
      <c r="E56" s="25" t="s">
        <v>3486</v>
      </c>
      <c r="F56" s="25" t="s">
        <v>263</v>
      </c>
      <c r="G56" s="30">
        <v>45541.0</v>
      </c>
      <c r="H56" s="30">
        <v>45557.0</v>
      </c>
      <c r="I56" s="24">
        <v>8.0</v>
      </c>
      <c r="J56" s="25" t="s">
        <v>66</v>
      </c>
      <c r="K56" s="24">
        <v>84.0</v>
      </c>
      <c r="L56" s="25" t="s">
        <v>181</v>
      </c>
    </row>
    <row r="57" ht="15.75" customHeight="1">
      <c r="A57" s="27" t="s">
        <v>3560</v>
      </c>
      <c r="B57" s="27" t="s">
        <v>620</v>
      </c>
      <c r="C57" s="27" t="s">
        <v>3510</v>
      </c>
      <c r="D57" s="27" t="s">
        <v>3485</v>
      </c>
      <c r="E57" s="27" t="s">
        <v>3486</v>
      </c>
      <c r="F57" s="27" t="s">
        <v>329</v>
      </c>
      <c r="G57" s="33">
        <v>44861.0</v>
      </c>
      <c r="H57" s="33">
        <v>44883.0</v>
      </c>
      <c r="I57" s="26">
        <v>32.0</v>
      </c>
      <c r="J57" s="27" t="s">
        <v>66</v>
      </c>
      <c r="K57" s="26">
        <v>69.0</v>
      </c>
      <c r="L57" s="27" t="s">
        <v>181</v>
      </c>
    </row>
    <row r="58" ht="15.75" customHeight="1">
      <c r="A58" s="25" t="s">
        <v>3561</v>
      </c>
      <c r="B58" s="25" t="s">
        <v>620</v>
      </c>
      <c r="C58" s="25" t="s">
        <v>3492</v>
      </c>
      <c r="D58" s="25" t="s">
        <v>3485</v>
      </c>
      <c r="E58" s="25" t="s">
        <v>3486</v>
      </c>
      <c r="F58" s="25" t="s">
        <v>234</v>
      </c>
      <c r="G58" s="30">
        <v>45540.0</v>
      </c>
      <c r="H58" s="30">
        <v>45557.0</v>
      </c>
      <c r="I58" s="24">
        <v>4.0</v>
      </c>
      <c r="J58" s="25" t="s">
        <v>3487</v>
      </c>
      <c r="K58" s="25"/>
      <c r="L58" s="25" t="s">
        <v>181</v>
      </c>
    </row>
    <row r="59" ht="15.75" customHeight="1">
      <c r="A59" s="27" t="s">
        <v>3562</v>
      </c>
      <c r="B59" s="27" t="s">
        <v>620</v>
      </c>
      <c r="C59" s="27" t="s">
        <v>3513</v>
      </c>
      <c r="D59" s="27" t="s">
        <v>3481</v>
      </c>
      <c r="E59" s="27" t="s">
        <v>3514</v>
      </c>
      <c r="F59" s="27" t="s">
        <v>313</v>
      </c>
      <c r="G59" s="33">
        <v>45067.0</v>
      </c>
      <c r="H59" s="33">
        <v>45088.0</v>
      </c>
      <c r="I59" s="26">
        <v>40.0</v>
      </c>
      <c r="J59" s="27" t="s">
        <v>3497</v>
      </c>
      <c r="K59" s="27"/>
      <c r="L59" s="27" t="s">
        <v>187</v>
      </c>
    </row>
    <row r="60" ht="15.75" customHeight="1">
      <c r="A60" s="25" t="s">
        <v>3563</v>
      </c>
      <c r="B60" s="25" t="s">
        <v>628</v>
      </c>
      <c r="C60" s="25" t="s">
        <v>3507</v>
      </c>
      <c r="D60" s="25" t="s">
        <v>3481</v>
      </c>
      <c r="E60" s="25" t="s">
        <v>3508</v>
      </c>
      <c r="F60" s="25" t="s">
        <v>288</v>
      </c>
      <c r="G60" s="30">
        <v>45394.0</v>
      </c>
      <c r="H60" s="30">
        <v>45396.0</v>
      </c>
      <c r="I60" s="24">
        <v>4.0</v>
      </c>
      <c r="J60" s="25" t="s">
        <v>3497</v>
      </c>
      <c r="K60" s="25"/>
      <c r="L60" s="25" t="s">
        <v>187</v>
      </c>
    </row>
    <row r="61" ht="15.75" customHeight="1">
      <c r="A61" s="27" t="s">
        <v>3564</v>
      </c>
      <c r="B61" s="27" t="s">
        <v>628</v>
      </c>
      <c r="C61" s="27" t="s">
        <v>3510</v>
      </c>
      <c r="D61" s="27" t="s">
        <v>3485</v>
      </c>
      <c r="E61" s="27" t="s">
        <v>3486</v>
      </c>
      <c r="F61" s="27" t="s">
        <v>329</v>
      </c>
      <c r="G61" s="33">
        <v>45370.0</v>
      </c>
      <c r="H61" s="33">
        <v>45371.0</v>
      </c>
      <c r="I61" s="26">
        <v>40.0</v>
      </c>
      <c r="J61" s="27" t="s">
        <v>66</v>
      </c>
      <c r="K61" s="26">
        <v>83.0</v>
      </c>
      <c r="L61" s="27" t="s">
        <v>187</v>
      </c>
    </row>
    <row r="62" ht="15.75" customHeight="1">
      <c r="A62" s="25" t="s">
        <v>3565</v>
      </c>
      <c r="B62" s="25" t="s">
        <v>635</v>
      </c>
      <c r="C62" s="25" t="s">
        <v>3484</v>
      </c>
      <c r="D62" s="25" t="s">
        <v>3485</v>
      </c>
      <c r="E62" s="25" t="s">
        <v>3486</v>
      </c>
      <c r="F62" s="25" t="s">
        <v>284</v>
      </c>
      <c r="G62" s="30">
        <v>45543.0</v>
      </c>
      <c r="H62" s="30">
        <v>45563.0</v>
      </c>
      <c r="I62" s="24">
        <v>32.0</v>
      </c>
      <c r="J62" s="25" t="s">
        <v>3487</v>
      </c>
      <c r="K62" s="25"/>
      <c r="L62" s="25" t="s">
        <v>187</v>
      </c>
    </row>
    <row r="63" ht="15.75" customHeight="1">
      <c r="A63" s="27" t="s">
        <v>3566</v>
      </c>
      <c r="B63" s="27" t="s">
        <v>635</v>
      </c>
      <c r="C63" s="27" t="s">
        <v>3529</v>
      </c>
      <c r="D63" s="27" t="s">
        <v>3481</v>
      </c>
      <c r="E63" s="27" t="s">
        <v>3530</v>
      </c>
      <c r="F63" s="27" t="s">
        <v>333</v>
      </c>
      <c r="G63" s="33">
        <v>44884.0</v>
      </c>
      <c r="H63" s="33">
        <v>44892.0</v>
      </c>
      <c r="I63" s="26">
        <v>16.0</v>
      </c>
      <c r="J63" s="27" t="s">
        <v>66</v>
      </c>
      <c r="K63" s="26">
        <v>91.0</v>
      </c>
      <c r="L63" s="27" t="s">
        <v>181</v>
      </c>
    </row>
    <row r="64" ht="15.75" customHeight="1">
      <c r="A64" s="25" t="s">
        <v>3567</v>
      </c>
      <c r="B64" s="25" t="s">
        <v>635</v>
      </c>
      <c r="C64" s="25" t="s">
        <v>3489</v>
      </c>
      <c r="D64" s="25" t="s">
        <v>3485</v>
      </c>
      <c r="E64" s="25" t="s">
        <v>3486</v>
      </c>
      <c r="F64" s="25" t="s">
        <v>336</v>
      </c>
      <c r="G64" s="30">
        <v>45448.0</v>
      </c>
      <c r="H64" s="30">
        <v>45468.0</v>
      </c>
      <c r="I64" s="24">
        <v>4.0</v>
      </c>
      <c r="J64" s="25" t="s">
        <v>66</v>
      </c>
      <c r="K64" s="24">
        <v>95.0</v>
      </c>
      <c r="L64" s="25" t="s">
        <v>181</v>
      </c>
    </row>
    <row r="65" ht="15.75" customHeight="1">
      <c r="A65" s="27" t="s">
        <v>3568</v>
      </c>
      <c r="B65" s="27" t="s">
        <v>635</v>
      </c>
      <c r="C65" s="27" t="s">
        <v>3492</v>
      </c>
      <c r="D65" s="27" t="s">
        <v>3485</v>
      </c>
      <c r="E65" s="27" t="s">
        <v>3486</v>
      </c>
      <c r="F65" s="27" t="s">
        <v>234</v>
      </c>
      <c r="G65" s="33">
        <v>44860.0</v>
      </c>
      <c r="H65" s="33">
        <v>44885.0</v>
      </c>
      <c r="I65" s="26">
        <v>16.0</v>
      </c>
      <c r="J65" s="27" t="s">
        <v>66</v>
      </c>
      <c r="K65" s="26">
        <v>77.0</v>
      </c>
      <c r="L65" s="27" t="s">
        <v>187</v>
      </c>
    </row>
    <row r="66" ht="15.75" customHeight="1">
      <c r="A66" s="25" t="s">
        <v>3569</v>
      </c>
      <c r="B66" s="25" t="s">
        <v>643</v>
      </c>
      <c r="C66" s="25" t="s">
        <v>3547</v>
      </c>
      <c r="D66" s="25" t="s">
        <v>3485</v>
      </c>
      <c r="E66" s="25" t="s">
        <v>3486</v>
      </c>
      <c r="F66" s="25" t="s">
        <v>340</v>
      </c>
      <c r="G66" s="30">
        <v>45183.0</v>
      </c>
      <c r="H66" s="30">
        <v>45210.0</v>
      </c>
      <c r="I66" s="24">
        <v>16.0</v>
      </c>
      <c r="J66" s="25" t="s">
        <v>66</v>
      </c>
      <c r="K66" s="24">
        <v>79.0</v>
      </c>
      <c r="L66" s="25" t="s">
        <v>187</v>
      </c>
    </row>
    <row r="67" ht="15.75" customHeight="1">
      <c r="A67" s="27" t="s">
        <v>3570</v>
      </c>
      <c r="B67" s="27" t="s">
        <v>643</v>
      </c>
      <c r="C67" s="27" t="s">
        <v>3504</v>
      </c>
      <c r="D67" s="27" t="s">
        <v>3481</v>
      </c>
      <c r="E67" s="27" t="s">
        <v>3505</v>
      </c>
      <c r="F67" s="27" t="s">
        <v>229</v>
      </c>
      <c r="G67" s="33">
        <v>45609.0</v>
      </c>
      <c r="H67" s="33">
        <v>45625.0</v>
      </c>
      <c r="I67" s="26">
        <v>40.0</v>
      </c>
      <c r="J67" s="27" t="s">
        <v>66</v>
      </c>
      <c r="K67" s="26">
        <v>97.0</v>
      </c>
      <c r="L67" s="27" t="s">
        <v>181</v>
      </c>
    </row>
    <row r="68" ht="15.75" customHeight="1">
      <c r="A68" s="25" t="s">
        <v>3571</v>
      </c>
      <c r="B68" s="25" t="s">
        <v>643</v>
      </c>
      <c r="C68" s="25" t="s">
        <v>3513</v>
      </c>
      <c r="D68" s="25" t="s">
        <v>3481</v>
      </c>
      <c r="E68" s="25" t="s">
        <v>3514</v>
      </c>
      <c r="F68" s="25" t="s">
        <v>313</v>
      </c>
      <c r="G68" s="30">
        <v>45523.0</v>
      </c>
      <c r="H68" s="30">
        <v>45534.0</v>
      </c>
      <c r="I68" s="24">
        <v>24.0</v>
      </c>
      <c r="J68" s="25" t="s">
        <v>66</v>
      </c>
      <c r="K68" s="24">
        <v>81.0</v>
      </c>
      <c r="L68" s="25" t="s">
        <v>181</v>
      </c>
    </row>
    <row r="69" ht="15.75" customHeight="1">
      <c r="A69" s="27" t="s">
        <v>3572</v>
      </c>
      <c r="B69" s="27" t="s">
        <v>651</v>
      </c>
      <c r="C69" s="27" t="s">
        <v>3504</v>
      </c>
      <c r="D69" s="27" t="s">
        <v>3481</v>
      </c>
      <c r="E69" s="27" t="s">
        <v>3505</v>
      </c>
      <c r="F69" s="27" t="s">
        <v>229</v>
      </c>
      <c r="G69" s="33">
        <v>45153.0</v>
      </c>
      <c r="H69" s="33">
        <v>45173.0</v>
      </c>
      <c r="I69" s="26">
        <v>16.0</v>
      </c>
      <c r="J69" s="27" t="s">
        <v>66</v>
      </c>
      <c r="K69" s="26">
        <v>80.0</v>
      </c>
      <c r="L69" s="27" t="s">
        <v>181</v>
      </c>
    </row>
    <row r="70" ht="15.75" customHeight="1">
      <c r="A70" s="25" t="s">
        <v>3573</v>
      </c>
      <c r="B70" s="25" t="s">
        <v>651</v>
      </c>
      <c r="C70" s="25" t="s">
        <v>3510</v>
      </c>
      <c r="D70" s="25" t="s">
        <v>3485</v>
      </c>
      <c r="E70" s="25" t="s">
        <v>3486</v>
      </c>
      <c r="F70" s="25" t="s">
        <v>329</v>
      </c>
      <c r="G70" s="30">
        <v>44953.0</v>
      </c>
      <c r="H70" s="30">
        <v>44965.0</v>
      </c>
      <c r="I70" s="24">
        <v>8.0</v>
      </c>
      <c r="J70" s="25" t="s">
        <v>3487</v>
      </c>
      <c r="K70" s="25"/>
      <c r="L70" s="25" t="s">
        <v>187</v>
      </c>
    </row>
    <row r="71" ht="15.75" customHeight="1">
      <c r="A71" s="27" t="s">
        <v>3574</v>
      </c>
      <c r="B71" s="27" t="s">
        <v>651</v>
      </c>
      <c r="C71" s="27" t="s">
        <v>3501</v>
      </c>
      <c r="D71" s="27" t="s">
        <v>3481</v>
      </c>
      <c r="E71" s="27" t="s">
        <v>3502</v>
      </c>
      <c r="F71" s="27" t="s">
        <v>266</v>
      </c>
      <c r="G71" s="33">
        <v>45622.0</v>
      </c>
      <c r="H71" s="33">
        <v>45644.0</v>
      </c>
      <c r="I71" s="26">
        <v>16.0</v>
      </c>
      <c r="J71" s="27" t="s">
        <v>66</v>
      </c>
      <c r="K71" s="26">
        <v>98.0</v>
      </c>
      <c r="L71" s="27" t="s">
        <v>187</v>
      </c>
    </row>
    <row r="72" ht="15.75" customHeight="1">
      <c r="A72" s="25" t="s">
        <v>3575</v>
      </c>
      <c r="B72" s="25" t="s">
        <v>658</v>
      </c>
      <c r="C72" s="25" t="s">
        <v>3501</v>
      </c>
      <c r="D72" s="25" t="s">
        <v>3481</v>
      </c>
      <c r="E72" s="25" t="s">
        <v>3502</v>
      </c>
      <c r="F72" s="25" t="s">
        <v>266</v>
      </c>
      <c r="G72" s="30">
        <v>44847.0</v>
      </c>
      <c r="H72" s="30">
        <v>44873.0</v>
      </c>
      <c r="I72" s="24">
        <v>16.0</v>
      </c>
      <c r="J72" s="25" t="s">
        <v>3497</v>
      </c>
      <c r="K72" s="25"/>
      <c r="L72" s="25" t="s">
        <v>181</v>
      </c>
    </row>
    <row r="73" ht="15.75" customHeight="1">
      <c r="A73" s="27" t="s">
        <v>3576</v>
      </c>
      <c r="B73" s="27" t="s">
        <v>658</v>
      </c>
      <c r="C73" s="27" t="s">
        <v>3484</v>
      </c>
      <c r="D73" s="27" t="s">
        <v>3485</v>
      </c>
      <c r="E73" s="27" t="s">
        <v>3486</v>
      </c>
      <c r="F73" s="27" t="s">
        <v>284</v>
      </c>
      <c r="G73" s="33">
        <v>45302.0</v>
      </c>
      <c r="H73" s="33">
        <v>45325.0</v>
      </c>
      <c r="I73" s="26">
        <v>16.0</v>
      </c>
      <c r="J73" s="27" t="s">
        <v>66</v>
      </c>
      <c r="K73" s="26">
        <v>73.0</v>
      </c>
      <c r="L73" s="27" t="s">
        <v>187</v>
      </c>
    </row>
    <row r="74" ht="15.75" customHeight="1">
      <c r="A74" s="25" t="s">
        <v>3577</v>
      </c>
      <c r="B74" s="25" t="s">
        <v>665</v>
      </c>
      <c r="C74" s="25" t="s">
        <v>3538</v>
      </c>
      <c r="D74" s="25" t="s">
        <v>3485</v>
      </c>
      <c r="E74" s="25" t="s">
        <v>3486</v>
      </c>
      <c r="F74" s="25" t="s">
        <v>234</v>
      </c>
      <c r="G74" s="30">
        <v>44983.0</v>
      </c>
      <c r="H74" s="30">
        <v>45003.0</v>
      </c>
      <c r="I74" s="24">
        <v>16.0</v>
      </c>
      <c r="J74" s="25" t="s">
        <v>3497</v>
      </c>
      <c r="K74" s="25"/>
      <c r="L74" s="25" t="s">
        <v>181</v>
      </c>
    </row>
    <row r="75" ht="15.75" customHeight="1">
      <c r="A75" s="27" t="s">
        <v>3578</v>
      </c>
      <c r="B75" s="27" t="s">
        <v>665</v>
      </c>
      <c r="C75" s="27" t="s">
        <v>3492</v>
      </c>
      <c r="D75" s="27" t="s">
        <v>3485</v>
      </c>
      <c r="E75" s="27" t="s">
        <v>3486</v>
      </c>
      <c r="F75" s="27" t="s">
        <v>234</v>
      </c>
      <c r="G75" s="33">
        <v>45579.0</v>
      </c>
      <c r="H75" s="33">
        <v>45591.0</v>
      </c>
      <c r="I75" s="26">
        <v>24.0</v>
      </c>
      <c r="J75" s="27" t="s">
        <v>66</v>
      </c>
      <c r="K75" s="26">
        <v>77.0</v>
      </c>
      <c r="L75" s="27" t="s">
        <v>187</v>
      </c>
    </row>
    <row r="76" ht="15.75" customHeight="1">
      <c r="A76" s="25" t="s">
        <v>3579</v>
      </c>
      <c r="B76" s="25" t="s">
        <v>665</v>
      </c>
      <c r="C76" s="25" t="s">
        <v>3480</v>
      </c>
      <c r="D76" s="25" t="s">
        <v>3481</v>
      </c>
      <c r="E76" s="25" t="s">
        <v>3482</v>
      </c>
      <c r="F76" s="25" t="s">
        <v>246</v>
      </c>
      <c r="G76" s="30">
        <v>45261.0</v>
      </c>
      <c r="H76" s="30">
        <v>45266.0</v>
      </c>
      <c r="I76" s="24">
        <v>4.0</v>
      </c>
      <c r="J76" s="25" t="s">
        <v>66</v>
      </c>
      <c r="K76" s="24">
        <v>76.0</v>
      </c>
      <c r="L76" s="25" t="s">
        <v>181</v>
      </c>
    </row>
    <row r="77" ht="15.75" customHeight="1">
      <c r="A77" s="27" t="s">
        <v>3580</v>
      </c>
      <c r="B77" s="27" t="s">
        <v>665</v>
      </c>
      <c r="C77" s="27" t="s">
        <v>3510</v>
      </c>
      <c r="D77" s="27" t="s">
        <v>3485</v>
      </c>
      <c r="E77" s="27" t="s">
        <v>3486</v>
      </c>
      <c r="F77" s="27" t="s">
        <v>329</v>
      </c>
      <c r="G77" s="33">
        <v>45333.0</v>
      </c>
      <c r="H77" s="33">
        <v>45360.0</v>
      </c>
      <c r="I77" s="26">
        <v>24.0</v>
      </c>
      <c r="J77" s="27" t="s">
        <v>66</v>
      </c>
      <c r="K77" s="26">
        <v>60.0</v>
      </c>
      <c r="L77" s="27" t="s">
        <v>181</v>
      </c>
    </row>
    <row r="78" ht="15.75" customHeight="1">
      <c r="A78" s="25" t="s">
        <v>3581</v>
      </c>
      <c r="B78" s="25" t="s">
        <v>665</v>
      </c>
      <c r="C78" s="25" t="s">
        <v>3529</v>
      </c>
      <c r="D78" s="25" t="s">
        <v>3481</v>
      </c>
      <c r="E78" s="25" t="s">
        <v>3530</v>
      </c>
      <c r="F78" s="25" t="s">
        <v>333</v>
      </c>
      <c r="G78" s="30">
        <v>44948.0</v>
      </c>
      <c r="H78" s="30">
        <v>44974.0</v>
      </c>
      <c r="I78" s="24">
        <v>24.0</v>
      </c>
      <c r="J78" s="25" t="s">
        <v>3487</v>
      </c>
      <c r="K78" s="25"/>
      <c r="L78" s="25" t="s">
        <v>187</v>
      </c>
    </row>
    <row r="79" ht="15.75" customHeight="1">
      <c r="A79" s="27" t="s">
        <v>3582</v>
      </c>
      <c r="B79" s="27" t="s">
        <v>675</v>
      </c>
      <c r="C79" s="27" t="s">
        <v>3484</v>
      </c>
      <c r="D79" s="27" t="s">
        <v>3485</v>
      </c>
      <c r="E79" s="27" t="s">
        <v>3486</v>
      </c>
      <c r="F79" s="27" t="s">
        <v>284</v>
      </c>
      <c r="G79" s="33">
        <v>44969.0</v>
      </c>
      <c r="H79" s="33">
        <v>44978.0</v>
      </c>
      <c r="I79" s="26">
        <v>24.0</v>
      </c>
      <c r="J79" s="27" t="s">
        <v>66</v>
      </c>
      <c r="K79" s="26">
        <v>100.0</v>
      </c>
      <c r="L79" s="27" t="s">
        <v>187</v>
      </c>
    </row>
    <row r="80" ht="15.75" customHeight="1">
      <c r="A80" s="25" t="s">
        <v>3583</v>
      </c>
      <c r="B80" s="25" t="s">
        <v>675</v>
      </c>
      <c r="C80" s="25" t="s">
        <v>3510</v>
      </c>
      <c r="D80" s="25" t="s">
        <v>3485</v>
      </c>
      <c r="E80" s="25" t="s">
        <v>3486</v>
      </c>
      <c r="F80" s="25" t="s">
        <v>329</v>
      </c>
      <c r="G80" s="30">
        <v>44783.0</v>
      </c>
      <c r="H80" s="30">
        <v>44799.0</v>
      </c>
      <c r="I80" s="24">
        <v>16.0</v>
      </c>
      <c r="J80" s="25" t="s">
        <v>66</v>
      </c>
      <c r="K80" s="24">
        <v>67.0</v>
      </c>
      <c r="L80" s="25" t="s">
        <v>181</v>
      </c>
    </row>
    <row r="81" ht="15.75" customHeight="1">
      <c r="A81" s="27" t="s">
        <v>3584</v>
      </c>
      <c r="B81" s="27" t="s">
        <v>675</v>
      </c>
      <c r="C81" s="27" t="s">
        <v>3538</v>
      </c>
      <c r="D81" s="27" t="s">
        <v>3485</v>
      </c>
      <c r="E81" s="27" t="s">
        <v>3486</v>
      </c>
      <c r="F81" s="27" t="s">
        <v>234</v>
      </c>
      <c r="G81" s="33">
        <v>44932.0</v>
      </c>
      <c r="H81" s="33">
        <v>44936.0</v>
      </c>
      <c r="I81" s="26">
        <v>4.0</v>
      </c>
      <c r="J81" s="27" t="s">
        <v>66</v>
      </c>
      <c r="K81" s="26">
        <v>62.0</v>
      </c>
      <c r="L81" s="27" t="s">
        <v>181</v>
      </c>
    </row>
    <row r="82" ht="15.75" customHeight="1">
      <c r="A82" s="25" t="s">
        <v>3585</v>
      </c>
      <c r="B82" s="25" t="s">
        <v>675</v>
      </c>
      <c r="C82" s="25" t="s">
        <v>3507</v>
      </c>
      <c r="D82" s="25" t="s">
        <v>3481</v>
      </c>
      <c r="E82" s="25" t="s">
        <v>3508</v>
      </c>
      <c r="F82" s="25" t="s">
        <v>288</v>
      </c>
      <c r="G82" s="30">
        <v>45130.0</v>
      </c>
      <c r="H82" s="30">
        <v>45134.0</v>
      </c>
      <c r="I82" s="24">
        <v>16.0</v>
      </c>
      <c r="J82" s="25" t="s">
        <v>66</v>
      </c>
      <c r="K82" s="24">
        <v>68.0</v>
      </c>
      <c r="L82" s="25" t="s">
        <v>181</v>
      </c>
    </row>
    <row r="83" ht="15.75" customHeight="1">
      <c r="A83" s="27" t="s">
        <v>3586</v>
      </c>
      <c r="B83" s="27" t="s">
        <v>675</v>
      </c>
      <c r="C83" s="27" t="s">
        <v>3517</v>
      </c>
      <c r="D83" s="27" t="s">
        <v>3481</v>
      </c>
      <c r="E83" s="27" t="s">
        <v>3518</v>
      </c>
      <c r="F83" s="27" t="s">
        <v>238</v>
      </c>
      <c r="G83" s="33">
        <v>45428.0</v>
      </c>
      <c r="H83" s="33">
        <v>45435.0</v>
      </c>
      <c r="I83" s="26">
        <v>40.0</v>
      </c>
      <c r="J83" s="27" t="s">
        <v>66</v>
      </c>
      <c r="K83" s="26">
        <v>96.0</v>
      </c>
      <c r="L83" s="27" t="s">
        <v>181</v>
      </c>
    </row>
    <row r="84" ht="15.75" customHeight="1">
      <c r="A84" s="25" t="s">
        <v>3587</v>
      </c>
      <c r="B84" s="25" t="s">
        <v>682</v>
      </c>
      <c r="C84" s="25" t="s">
        <v>3480</v>
      </c>
      <c r="D84" s="25" t="s">
        <v>3481</v>
      </c>
      <c r="E84" s="25" t="s">
        <v>3482</v>
      </c>
      <c r="F84" s="25" t="s">
        <v>246</v>
      </c>
      <c r="G84" s="30">
        <v>45253.0</v>
      </c>
      <c r="H84" s="30">
        <v>45273.0</v>
      </c>
      <c r="I84" s="24">
        <v>16.0</v>
      </c>
      <c r="J84" s="25" t="s">
        <v>3497</v>
      </c>
      <c r="K84" s="25"/>
      <c r="L84" s="25" t="s">
        <v>187</v>
      </c>
    </row>
    <row r="85" ht="15.75" customHeight="1">
      <c r="A85" s="27" t="s">
        <v>3588</v>
      </c>
      <c r="B85" s="27" t="s">
        <v>689</v>
      </c>
      <c r="C85" s="27" t="s">
        <v>3529</v>
      </c>
      <c r="D85" s="27" t="s">
        <v>3481</v>
      </c>
      <c r="E85" s="27" t="s">
        <v>3530</v>
      </c>
      <c r="F85" s="27" t="s">
        <v>333</v>
      </c>
      <c r="G85" s="33">
        <v>45108.0</v>
      </c>
      <c r="H85" s="33">
        <v>45138.0</v>
      </c>
      <c r="I85" s="26">
        <v>8.0</v>
      </c>
      <c r="J85" s="27" t="s">
        <v>66</v>
      </c>
      <c r="K85" s="26">
        <v>69.0</v>
      </c>
      <c r="L85" s="27" t="s">
        <v>181</v>
      </c>
    </row>
    <row r="86" ht="15.75" customHeight="1">
      <c r="A86" s="25" t="s">
        <v>3589</v>
      </c>
      <c r="B86" s="25" t="s">
        <v>689</v>
      </c>
      <c r="C86" s="25" t="s">
        <v>3507</v>
      </c>
      <c r="D86" s="25" t="s">
        <v>3481</v>
      </c>
      <c r="E86" s="25" t="s">
        <v>3508</v>
      </c>
      <c r="F86" s="25" t="s">
        <v>288</v>
      </c>
      <c r="G86" s="30">
        <v>45210.0</v>
      </c>
      <c r="H86" s="30">
        <v>45235.0</v>
      </c>
      <c r="I86" s="24">
        <v>24.0</v>
      </c>
      <c r="J86" s="25" t="s">
        <v>66</v>
      </c>
      <c r="K86" s="24">
        <v>73.0</v>
      </c>
      <c r="L86" s="25" t="s">
        <v>181</v>
      </c>
    </row>
    <row r="87" ht="15.75" customHeight="1">
      <c r="A87" s="27" t="s">
        <v>3590</v>
      </c>
      <c r="B87" s="27" t="s">
        <v>698</v>
      </c>
      <c r="C87" s="27" t="s">
        <v>3480</v>
      </c>
      <c r="D87" s="27" t="s">
        <v>3481</v>
      </c>
      <c r="E87" s="27" t="s">
        <v>3482</v>
      </c>
      <c r="F87" s="27" t="s">
        <v>246</v>
      </c>
      <c r="G87" s="33">
        <v>45114.0</v>
      </c>
      <c r="H87" s="33">
        <v>45140.0</v>
      </c>
      <c r="I87" s="26">
        <v>4.0</v>
      </c>
      <c r="J87" s="27" t="s">
        <v>66</v>
      </c>
      <c r="K87" s="26">
        <v>75.0</v>
      </c>
      <c r="L87" s="27" t="s">
        <v>187</v>
      </c>
    </row>
    <row r="88" ht="15.75" customHeight="1">
      <c r="A88" s="25" t="s">
        <v>3591</v>
      </c>
      <c r="B88" s="25" t="s">
        <v>698</v>
      </c>
      <c r="C88" s="25" t="s">
        <v>3484</v>
      </c>
      <c r="D88" s="25" t="s">
        <v>3485</v>
      </c>
      <c r="E88" s="25" t="s">
        <v>3486</v>
      </c>
      <c r="F88" s="25" t="s">
        <v>284</v>
      </c>
      <c r="G88" s="30">
        <v>45014.0</v>
      </c>
      <c r="H88" s="30">
        <v>45022.0</v>
      </c>
      <c r="I88" s="24">
        <v>8.0</v>
      </c>
      <c r="J88" s="25" t="s">
        <v>66</v>
      </c>
      <c r="K88" s="24">
        <v>71.0</v>
      </c>
      <c r="L88" s="25" t="s">
        <v>181</v>
      </c>
    </row>
    <row r="89" ht="15.75" customHeight="1">
      <c r="A89" s="27" t="s">
        <v>3592</v>
      </c>
      <c r="B89" s="27" t="s">
        <v>705</v>
      </c>
      <c r="C89" s="27" t="s">
        <v>3480</v>
      </c>
      <c r="D89" s="27" t="s">
        <v>3481</v>
      </c>
      <c r="E89" s="27" t="s">
        <v>3482</v>
      </c>
      <c r="F89" s="27" t="s">
        <v>246</v>
      </c>
      <c r="G89" s="33">
        <v>45193.0</v>
      </c>
      <c r="H89" s="33">
        <v>45207.0</v>
      </c>
      <c r="I89" s="26">
        <v>32.0</v>
      </c>
      <c r="J89" s="27" t="s">
        <v>66</v>
      </c>
      <c r="K89" s="26">
        <v>84.0</v>
      </c>
      <c r="L89" s="27" t="s">
        <v>187</v>
      </c>
    </row>
    <row r="90" ht="15.75" customHeight="1">
      <c r="A90" s="25" t="s">
        <v>3593</v>
      </c>
      <c r="B90" s="25" t="s">
        <v>705</v>
      </c>
      <c r="C90" s="25" t="s">
        <v>3496</v>
      </c>
      <c r="D90" s="25" t="s">
        <v>3485</v>
      </c>
      <c r="E90" s="25" t="s">
        <v>3486</v>
      </c>
      <c r="F90" s="25" t="s">
        <v>263</v>
      </c>
      <c r="G90" s="30">
        <v>44999.0</v>
      </c>
      <c r="H90" s="30">
        <v>45007.0</v>
      </c>
      <c r="I90" s="24">
        <v>4.0</v>
      </c>
      <c r="J90" s="25" t="s">
        <v>66</v>
      </c>
      <c r="K90" s="24">
        <v>86.0</v>
      </c>
      <c r="L90" s="25" t="s">
        <v>187</v>
      </c>
    </row>
    <row r="91" ht="15.75" customHeight="1">
      <c r="A91" s="27" t="s">
        <v>3594</v>
      </c>
      <c r="B91" s="27" t="s">
        <v>705</v>
      </c>
      <c r="C91" s="27" t="s">
        <v>3529</v>
      </c>
      <c r="D91" s="27" t="s">
        <v>3481</v>
      </c>
      <c r="E91" s="27" t="s">
        <v>3530</v>
      </c>
      <c r="F91" s="27" t="s">
        <v>333</v>
      </c>
      <c r="G91" s="33">
        <v>45468.0</v>
      </c>
      <c r="H91" s="33">
        <v>45473.0</v>
      </c>
      <c r="I91" s="26">
        <v>24.0</v>
      </c>
      <c r="J91" s="27" t="s">
        <v>3497</v>
      </c>
      <c r="K91" s="27"/>
      <c r="L91" s="27" t="s">
        <v>187</v>
      </c>
    </row>
    <row r="92" ht="15.75" customHeight="1">
      <c r="A92" s="25" t="s">
        <v>3595</v>
      </c>
      <c r="B92" s="25" t="s">
        <v>712</v>
      </c>
      <c r="C92" s="25" t="s">
        <v>3538</v>
      </c>
      <c r="D92" s="25" t="s">
        <v>3485</v>
      </c>
      <c r="E92" s="25" t="s">
        <v>3486</v>
      </c>
      <c r="F92" s="25" t="s">
        <v>234</v>
      </c>
      <c r="G92" s="30">
        <v>45118.0</v>
      </c>
      <c r="H92" s="30">
        <v>45125.0</v>
      </c>
      <c r="I92" s="24">
        <v>24.0</v>
      </c>
      <c r="J92" s="25" t="s">
        <v>3497</v>
      </c>
      <c r="K92" s="25"/>
      <c r="L92" s="25" t="s">
        <v>187</v>
      </c>
    </row>
    <row r="93" ht="15.75" customHeight="1">
      <c r="A93" s="27" t="s">
        <v>3596</v>
      </c>
      <c r="B93" s="27" t="s">
        <v>721</v>
      </c>
      <c r="C93" s="27" t="s">
        <v>3513</v>
      </c>
      <c r="D93" s="27" t="s">
        <v>3481</v>
      </c>
      <c r="E93" s="27" t="s">
        <v>3514</v>
      </c>
      <c r="F93" s="27" t="s">
        <v>313</v>
      </c>
      <c r="G93" s="33">
        <v>45356.0</v>
      </c>
      <c r="H93" s="33">
        <v>45383.0</v>
      </c>
      <c r="I93" s="26">
        <v>8.0</v>
      </c>
      <c r="J93" s="27" t="s">
        <v>66</v>
      </c>
      <c r="K93" s="26">
        <v>83.0</v>
      </c>
      <c r="L93" s="27" t="s">
        <v>181</v>
      </c>
    </row>
    <row r="94" ht="15.75" customHeight="1">
      <c r="A94" s="25" t="s">
        <v>3597</v>
      </c>
      <c r="B94" s="25" t="s">
        <v>721</v>
      </c>
      <c r="C94" s="25" t="s">
        <v>3507</v>
      </c>
      <c r="D94" s="25" t="s">
        <v>3481</v>
      </c>
      <c r="E94" s="25" t="s">
        <v>3508</v>
      </c>
      <c r="F94" s="25" t="s">
        <v>288</v>
      </c>
      <c r="G94" s="30">
        <v>44720.0</v>
      </c>
      <c r="H94" s="30">
        <v>44740.0</v>
      </c>
      <c r="I94" s="24">
        <v>40.0</v>
      </c>
      <c r="J94" s="25" t="s">
        <v>3497</v>
      </c>
      <c r="K94" s="25"/>
      <c r="L94" s="25" t="s">
        <v>187</v>
      </c>
    </row>
    <row r="95" ht="15.75" customHeight="1">
      <c r="A95" s="27" t="s">
        <v>3598</v>
      </c>
      <c r="B95" s="27" t="s">
        <v>721</v>
      </c>
      <c r="C95" s="27" t="s">
        <v>3496</v>
      </c>
      <c r="D95" s="27" t="s">
        <v>3485</v>
      </c>
      <c r="E95" s="27" t="s">
        <v>3486</v>
      </c>
      <c r="F95" s="27" t="s">
        <v>263</v>
      </c>
      <c r="G95" s="33">
        <v>44906.0</v>
      </c>
      <c r="H95" s="33">
        <v>44932.0</v>
      </c>
      <c r="I95" s="26">
        <v>8.0</v>
      </c>
      <c r="J95" s="27" t="s">
        <v>66</v>
      </c>
      <c r="K95" s="26">
        <v>80.0</v>
      </c>
      <c r="L95" s="27" t="s">
        <v>187</v>
      </c>
    </row>
    <row r="96" ht="15.75" customHeight="1">
      <c r="A96" s="25" t="s">
        <v>3599</v>
      </c>
      <c r="B96" s="25" t="s">
        <v>721</v>
      </c>
      <c r="C96" s="25" t="s">
        <v>3547</v>
      </c>
      <c r="D96" s="25" t="s">
        <v>3485</v>
      </c>
      <c r="E96" s="25" t="s">
        <v>3486</v>
      </c>
      <c r="F96" s="25" t="s">
        <v>340</v>
      </c>
      <c r="G96" s="30">
        <v>45391.0</v>
      </c>
      <c r="H96" s="30">
        <v>45400.0</v>
      </c>
      <c r="I96" s="24">
        <v>16.0</v>
      </c>
      <c r="J96" s="25" t="s">
        <v>66</v>
      </c>
      <c r="K96" s="24">
        <v>74.0</v>
      </c>
      <c r="L96" s="25" t="s">
        <v>187</v>
      </c>
    </row>
    <row r="97" ht="15.75" customHeight="1">
      <c r="A97" s="27" t="s">
        <v>3600</v>
      </c>
      <c r="B97" s="27" t="s">
        <v>721</v>
      </c>
      <c r="C97" s="27" t="s">
        <v>3538</v>
      </c>
      <c r="D97" s="27" t="s">
        <v>3485</v>
      </c>
      <c r="E97" s="27" t="s">
        <v>3486</v>
      </c>
      <c r="F97" s="27" t="s">
        <v>234</v>
      </c>
      <c r="G97" s="33">
        <v>45523.0</v>
      </c>
      <c r="H97" s="33">
        <v>45524.0</v>
      </c>
      <c r="I97" s="26">
        <v>32.0</v>
      </c>
      <c r="J97" s="27" t="s">
        <v>66</v>
      </c>
      <c r="K97" s="26">
        <v>75.0</v>
      </c>
      <c r="L97" s="27" t="s">
        <v>181</v>
      </c>
    </row>
    <row r="98" ht="15.75" customHeight="1">
      <c r="A98" s="25" t="s">
        <v>3601</v>
      </c>
      <c r="B98" s="25" t="s">
        <v>729</v>
      </c>
      <c r="C98" s="25" t="s">
        <v>3489</v>
      </c>
      <c r="D98" s="25" t="s">
        <v>3485</v>
      </c>
      <c r="E98" s="25" t="s">
        <v>3486</v>
      </c>
      <c r="F98" s="25" t="s">
        <v>336</v>
      </c>
      <c r="G98" s="30">
        <v>45268.0</v>
      </c>
      <c r="H98" s="30">
        <v>45280.0</v>
      </c>
      <c r="I98" s="24">
        <v>24.0</v>
      </c>
      <c r="J98" s="25" t="s">
        <v>66</v>
      </c>
      <c r="K98" s="24">
        <v>87.0</v>
      </c>
      <c r="L98" s="25" t="s">
        <v>187</v>
      </c>
    </row>
    <row r="99" ht="15.75" customHeight="1">
      <c r="A99" s="27" t="s">
        <v>3602</v>
      </c>
      <c r="B99" s="27" t="s">
        <v>729</v>
      </c>
      <c r="C99" s="27" t="s">
        <v>3501</v>
      </c>
      <c r="D99" s="27" t="s">
        <v>3481</v>
      </c>
      <c r="E99" s="27" t="s">
        <v>3502</v>
      </c>
      <c r="F99" s="27" t="s">
        <v>266</v>
      </c>
      <c r="G99" s="33">
        <v>45430.0</v>
      </c>
      <c r="H99" s="33">
        <v>45433.0</v>
      </c>
      <c r="I99" s="26">
        <v>16.0</v>
      </c>
      <c r="J99" s="27" t="s">
        <v>66</v>
      </c>
      <c r="K99" s="26">
        <v>74.0</v>
      </c>
      <c r="L99" s="27" t="s">
        <v>187</v>
      </c>
    </row>
    <row r="100" ht="15.75" customHeight="1">
      <c r="A100" s="25" t="s">
        <v>3603</v>
      </c>
      <c r="B100" s="25" t="s">
        <v>729</v>
      </c>
      <c r="C100" s="25" t="s">
        <v>3496</v>
      </c>
      <c r="D100" s="25" t="s">
        <v>3485</v>
      </c>
      <c r="E100" s="25" t="s">
        <v>3486</v>
      </c>
      <c r="F100" s="25" t="s">
        <v>263</v>
      </c>
      <c r="G100" s="30">
        <v>45312.0</v>
      </c>
      <c r="H100" s="30">
        <v>45342.0</v>
      </c>
      <c r="I100" s="24">
        <v>24.0</v>
      </c>
      <c r="J100" s="25" t="s">
        <v>3487</v>
      </c>
      <c r="K100" s="25"/>
      <c r="L100" s="25" t="s">
        <v>181</v>
      </c>
    </row>
    <row r="101" ht="15.75" customHeight="1">
      <c r="A101" s="27" t="s">
        <v>3604</v>
      </c>
      <c r="B101" s="27" t="s">
        <v>729</v>
      </c>
      <c r="C101" s="27" t="s">
        <v>3517</v>
      </c>
      <c r="D101" s="27" t="s">
        <v>3481</v>
      </c>
      <c r="E101" s="27" t="s">
        <v>3518</v>
      </c>
      <c r="F101" s="27" t="s">
        <v>238</v>
      </c>
      <c r="G101" s="33">
        <v>44907.0</v>
      </c>
      <c r="H101" s="33">
        <v>44915.0</v>
      </c>
      <c r="I101" s="26">
        <v>40.0</v>
      </c>
      <c r="J101" s="27" t="s">
        <v>3497</v>
      </c>
      <c r="K101" s="27"/>
      <c r="L101" s="27" t="s">
        <v>181</v>
      </c>
    </row>
    <row r="102" ht="15.75" customHeight="1">
      <c r="A102" s="25" t="s">
        <v>3605</v>
      </c>
      <c r="B102" s="25" t="s">
        <v>737</v>
      </c>
      <c r="C102" s="25" t="s">
        <v>3517</v>
      </c>
      <c r="D102" s="25" t="s">
        <v>3481</v>
      </c>
      <c r="E102" s="25" t="s">
        <v>3518</v>
      </c>
      <c r="F102" s="25" t="s">
        <v>238</v>
      </c>
      <c r="G102" s="30">
        <v>45308.0</v>
      </c>
      <c r="H102" s="30">
        <v>45310.0</v>
      </c>
      <c r="I102" s="24">
        <v>4.0</v>
      </c>
      <c r="J102" s="25" t="s">
        <v>3497</v>
      </c>
      <c r="K102" s="25"/>
      <c r="L102" s="25" t="s">
        <v>181</v>
      </c>
    </row>
    <row r="103" ht="15.75" customHeight="1">
      <c r="A103" s="27" t="s">
        <v>3606</v>
      </c>
      <c r="B103" s="27" t="s">
        <v>744</v>
      </c>
      <c r="C103" s="27" t="s">
        <v>3484</v>
      </c>
      <c r="D103" s="27" t="s">
        <v>3485</v>
      </c>
      <c r="E103" s="27" t="s">
        <v>3486</v>
      </c>
      <c r="F103" s="27" t="s">
        <v>284</v>
      </c>
      <c r="G103" s="33">
        <v>44664.0</v>
      </c>
      <c r="H103" s="33">
        <v>44673.0</v>
      </c>
      <c r="I103" s="26">
        <v>16.0</v>
      </c>
      <c r="J103" s="27" t="s">
        <v>66</v>
      </c>
      <c r="K103" s="26">
        <v>88.0</v>
      </c>
      <c r="L103" s="27" t="s">
        <v>181</v>
      </c>
    </row>
    <row r="104" ht="15.75" customHeight="1">
      <c r="A104" s="25" t="s">
        <v>3607</v>
      </c>
      <c r="B104" s="25" t="s">
        <v>750</v>
      </c>
      <c r="C104" s="25" t="s">
        <v>3492</v>
      </c>
      <c r="D104" s="25" t="s">
        <v>3485</v>
      </c>
      <c r="E104" s="25" t="s">
        <v>3486</v>
      </c>
      <c r="F104" s="25" t="s">
        <v>234</v>
      </c>
      <c r="G104" s="30">
        <v>44942.0</v>
      </c>
      <c r="H104" s="30">
        <v>44950.0</v>
      </c>
      <c r="I104" s="24">
        <v>8.0</v>
      </c>
      <c r="J104" s="25" t="s">
        <v>66</v>
      </c>
      <c r="K104" s="24">
        <v>93.0</v>
      </c>
      <c r="L104" s="25" t="s">
        <v>181</v>
      </c>
    </row>
    <row r="105" ht="15.75" customHeight="1">
      <c r="A105" s="27" t="s">
        <v>3608</v>
      </c>
      <c r="B105" s="27" t="s">
        <v>750</v>
      </c>
      <c r="C105" s="27" t="s">
        <v>3517</v>
      </c>
      <c r="D105" s="27" t="s">
        <v>3481</v>
      </c>
      <c r="E105" s="27" t="s">
        <v>3518</v>
      </c>
      <c r="F105" s="27" t="s">
        <v>238</v>
      </c>
      <c r="G105" s="33">
        <v>45036.0</v>
      </c>
      <c r="H105" s="33">
        <v>45064.0</v>
      </c>
      <c r="I105" s="26">
        <v>4.0</v>
      </c>
      <c r="J105" s="27" t="s">
        <v>66</v>
      </c>
      <c r="K105" s="26">
        <v>96.0</v>
      </c>
      <c r="L105" s="27" t="s">
        <v>181</v>
      </c>
    </row>
    <row r="106" ht="15.75" customHeight="1">
      <c r="A106" s="25" t="s">
        <v>3609</v>
      </c>
      <c r="B106" s="25" t="s">
        <v>750</v>
      </c>
      <c r="C106" s="25" t="s">
        <v>3510</v>
      </c>
      <c r="D106" s="25" t="s">
        <v>3485</v>
      </c>
      <c r="E106" s="25" t="s">
        <v>3486</v>
      </c>
      <c r="F106" s="25" t="s">
        <v>329</v>
      </c>
      <c r="G106" s="30">
        <v>45152.0</v>
      </c>
      <c r="H106" s="30">
        <v>45170.0</v>
      </c>
      <c r="I106" s="24">
        <v>24.0</v>
      </c>
      <c r="J106" s="25" t="s">
        <v>66</v>
      </c>
      <c r="K106" s="24">
        <v>70.0</v>
      </c>
      <c r="L106" s="25" t="s">
        <v>181</v>
      </c>
    </row>
    <row r="107" ht="15.75" customHeight="1">
      <c r="A107" s="27" t="s">
        <v>3610</v>
      </c>
      <c r="B107" s="27" t="s">
        <v>757</v>
      </c>
      <c r="C107" s="27" t="s">
        <v>3501</v>
      </c>
      <c r="D107" s="27" t="s">
        <v>3481</v>
      </c>
      <c r="E107" s="27" t="s">
        <v>3502</v>
      </c>
      <c r="F107" s="27" t="s">
        <v>266</v>
      </c>
      <c r="G107" s="33">
        <v>44962.0</v>
      </c>
      <c r="H107" s="33">
        <v>44982.0</v>
      </c>
      <c r="I107" s="26">
        <v>4.0</v>
      </c>
      <c r="J107" s="27" t="s">
        <v>3497</v>
      </c>
      <c r="K107" s="27"/>
      <c r="L107" s="27" t="s">
        <v>181</v>
      </c>
    </row>
    <row r="108" ht="15.75" customHeight="1">
      <c r="A108" s="25" t="s">
        <v>3611</v>
      </c>
      <c r="B108" s="25" t="s">
        <v>764</v>
      </c>
      <c r="C108" s="25" t="s">
        <v>3507</v>
      </c>
      <c r="D108" s="25" t="s">
        <v>3481</v>
      </c>
      <c r="E108" s="25" t="s">
        <v>3508</v>
      </c>
      <c r="F108" s="25" t="s">
        <v>288</v>
      </c>
      <c r="G108" s="30">
        <v>45655.0</v>
      </c>
      <c r="H108" s="30">
        <v>45659.0</v>
      </c>
      <c r="I108" s="24">
        <v>32.0</v>
      </c>
      <c r="J108" s="25" t="s">
        <v>3497</v>
      </c>
      <c r="K108" s="25"/>
      <c r="L108" s="25" t="s">
        <v>187</v>
      </c>
    </row>
    <row r="109" ht="15.75" customHeight="1">
      <c r="A109" s="27" t="s">
        <v>3612</v>
      </c>
      <c r="B109" s="27" t="s">
        <v>764</v>
      </c>
      <c r="C109" s="27" t="s">
        <v>3501</v>
      </c>
      <c r="D109" s="27" t="s">
        <v>3481</v>
      </c>
      <c r="E109" s="27" t="s">
        <v>3502</v>
      </c>
      <c r="F109" s="27" t="s">
        <v>266</v>
      </c>
      <c r="G109" s="33">
        <v>44928.0</v>
      </c>
      <c r="H109" s="33">
        <v>44933.0</v>
      </c>
      <c r="I109" s="26">
        <v>8.0</v>
      </c>
      <c r="J109" s="27" t="s">
        <v>66</v>
      </c>
      <c r="K109" s="26">
        <v>75.0</v>
      </c>
      <c r="L109" s="27" t="s">
        <v>181</v>
      </c>
    </row>
    <row r="110" ht="15.75" customHeight="1">
      <c r="A110" s="25" t="s">
        <v>3613</v>
      </c>
      <c r="B110" s="25" t="s">
        <v>764</v>
      </c>
      <c r="C110" s="25" t="s">
        <v>3492</v>
      </c>
      <c r="D110" s="25" t="s">
        <v>3485</v>
      </c>
      <c r="E110" s="25" t="s">
        <v>3486</v>
      </c>
      <c r="F110" s="25" t="s">
        <v>234</v>
      </c>
      <c r="G110" s="30">
        <v>45228.0</v>
      </c>
      <c r="H110" s="30">
        <v>45256.0</v>
      </c>
      <c r="I110" s="24">
        <v>16.0</v>
      </c>
      <c r="J110" s="25" t="s">
        <v>66</v>
      </c>
      <c r="K110" s="24">
        <v>92.0</v>
      </c>
      <c r="L110" s="25" t="s">
        <v>181</v>
      </c>
    </row>
    <row r="111" ht="15.75" customHeight="1">
      <c r="A111" s="27" t="s">
        <v>3614</v>
      </c>
      <c r="B111" s="27" t="s">
        <v>771</v>
      </c>
      <c r="C111" s="27" t="s">
        <v>3538</v>
      </c>
      <c r="D111" s="27" t="s">
        <v>3485</v>
      </c>
      <c r="E111" s="27" t="s">
        <v>3486</v>
      </c>
      <c r="F111" s="27" t="s">
        <v>234</v>
      </c>
      <c r="G111" s="33">
        <v>44661.0</v>
      </c>
      <c r="H111" s="33">
        <v>44677.0</v>
      </c>
      <c r="I111" s="26">
        <v>8.0</v>
      </c>
      <c r="J111" s="27" t="s">
        <v>66</v>
      </c>
      <c r="K111" s="26">
        <v>75.0</v>
      </c>
      <c r="L111" s="27" t="s">
        <v>187</v>
      </c>
    </row>
    <row r="112" ht="15.75" customHeight="1">
      <c r="A112" s="25" t="s">
        <v>3615</v>
      </c>
      <c r="B112" s="25" t="s">
        <v>771</v>
      </c>
      <c r="C112" s="25" t="s">
        <v>3496</v>
      </c>
      <c r="D112" s="25" t="s">
        <v>3485</v>
      </c>
      <c r="E112" s="25" t="s">
        <v>3486</v>
      </c>
      <c r="F112" s="25" t="s">
        <v>263</v>
      </c>
      <c r="G112" s="30">
        <v>45133.0</v>
      </c>
      <c r="H112" s="30">
        <v>45148.0</v>
      </c>
      <c r="I112" s="24">
        <v>8.0</v>
      </c>
      <c r="J112" s="25" t="s">
        <v>66</v>
      </c>
      <c r="K112" s="24">
        <v>67.0</v>
      </c>
      <c r="L112" s="25" t="s">
        <v>181</v>
      </c>
    </row>
    <row r="113" ht="15.75" customHeight="1">
      <c r="A113" s="27" t="s">
        <v>3616</v>
      </c>
      <c r="B113" s="27" t="s">
        <v>771</v>
      </c>
      <c r="C113" s="27" t="s">
        <v>3517</v>
      </c>
      <c r="D113" s="27" t="s">
        <v>3481</v>
      </c>
      <c r="E113" s="27" t="s">
        <v>3518</v>
      </c>
      <c r="F113" s="27" t="s">
        <v>238</v>
      </c>
      <c r="G113" s="33">
        <v>44893.0</v>
      </c>
      <c r="H113" s="33">
        <v>44914.0</v>
      </c>
      <c r="I113" s="26">
        <v>4.0</v>
      </c>
      <c r="J113" s="27" t="s">
        <v>66</v>
      </c>
      <c r="K113" s="26">
        <v>64.0</v>
      </c>
      <c r="L113" s="27" t="s">
        <v>187</v>
      </c>
    </row>
    <row r="114" ht="15.75" customHeight="1">
      <c r="A114" s="25" t="s">
        <v>3617</v>
      </c>
      <c r="B114" s="25" t="s">
        <v>771</v>
      </c>
      <c r="C114" s="25" t="s">
        <v>3492</v>
      </c>
      <c r="D114" s="25" t="s">
        <v>3485</v>
      </c>
      <c r="E114" s="25" t="s">
        <v>3486</v>
      </c>
      <c r="F114" s="25" t="s">
        <v>234</v>
      </c>
      <c r="G114" s="30">
        <v>44840.0</v>
      </c>
      <c r="H114" s="30">
        <v>44841.0</v>
      </c>
      <c r="I114" s="24">
        <v>32.0</v>
      </c>
      <c r="J114" s="25" t="s">
        <v>66</v>
      </c>
      <c r="K114" s="24">
        <v>91.0</v>
      </c>
      <c r="L114" s="25" t="s">
        <v>187</v>
      </c>
    </row>
    <row r="115" ht="15.75" customHeight="1">
      <c r="A115" s="27" t="s">
        <v>3618</v>
      </c>
      <c r="B115" s="27" t="s">
        <v>771</v>
      </c>
      <c r="C115" s="27" t="s">
        <v>3504</v>
      </c>
      <c r="D115" s="27" t="s">
        <v>3481</v>
      </c>
      <c r="E115" s="27" t="s">
        <v>3505</v>
      </c>
      <c r="F115" s="27" t="s">
        <v>229</v>
      </c>
      <c r="G115" s="33">
        <v>45389.0</v>
      </c>
      <c r="H115" s="33">
        <v>45418.0</v>
      </c>
      <c r="I115" s="26">
        <v>40.0</v>
      </c>
      <c r="J115" s="27" t="s">
        <v>66</v>
      </c>
      <c r="K115" s="26">
        <v>93.0</v>
      </c>
      <c r="L115" s="27" t="s">
        <v>187</v>
      </c>
    </row>
    <row r="116" ht="15.75" customHeight="1">
      <c r="A116" s="25" t="s">
        <v>3619</v>
      </c>
      <c r="B116" s="25" t="s">
        <v>779</v>
      </c>
      <c r="C116" s="25" t="s">
        <v>3484</v>
      </c>
      <c r="D116" s="25" t="s">
        <v>3485</v>
      </c>
      <c r="E116" s="25" t="s">
        <v>3486</v>
      </c>
      <c r="F116" s="25" t="s">
        <v>284</v>
      </c>
      <c r="G116" s="30">
        <v>45634.0</v>
      </c>
      <c r="H116" s="30">
        <v>45664.0</v>
      </c>
      <c r="I116" s="24">
        <v>32.0</v>
      </c>
      <c r="J116" s="25" t="s">
        <v>66</v>
      </c>
      <c r="K116" s="24">
        <v>91.0</v>
      </c>
      <c r="L116" s="25" t="s">
        <v>181</v>
      </c>
    </row>
    <row r="117" ht="15.75" customHeight="1">
      <c r="A117" s="27" t="s">
        <v>3620</v>
      </c>
      <c r="B117" s="27" t="s">
        <v>779</v>
      </c>
      <c r="C117" s="27" t="s">
        <v>3489</v>
      </c>
      <c r="D117" s="27" t="s">
        <v>3485</v>
      </c>
      <c r="E117" s="27" t="s">
        <v>3486</v>
      </c>
      <c r="F117" s="27" t="s">
        <v>336</v>
      </c>
      <c r="G117" s="33">
        <v>44636.0</v>
      </c>
      <c r="H117" s="33">
        <v>44643.0</v>
      </c>
      <c r="I117" s="26">
        <v>16.0</v>
      </c>
      <c r="J117" s="27" t="s">
        <v>66</v>
      </c>
      <c r="K117" s="26">
        <v>79.0</v>
      </c>
      <c r="L117" s="27" t="s">
        <v>181</v>
      </c>
    </row>
    <row r="118" ht="15.75" customHeight="1">
      <c r="A118" s="25" t="s">
        <v>3621</v>
      </c>
      <c r="B118" s="25" t="s">
        <v>779</v>
      </c>
      <c r="C118" s="25" t="s">
        <v>3501</v>
      </c>
      <c r="D118" s="25" t="s">
        <v>3481</v>
      </c>
      <c r="E118" s="25" t="s">
        <v>3502</v>
      </c>
      <c r="F118" s="25" t="s">
        <v>266</v>
      </c>
      <c r="G118" s="30">
        <v>45406.0</v>
      </c>
      <c r="H118" s="30">
        <v>45419.0</v>
      </c>
      <c r="I118" s="24">
        <v>16.0</v>
      </c>
      <c r="J118" s="25" t="s">
        <v>66</v>
      </c>
      <c r="K118" s="24">
        <v>61.0</v>
      </c>
      <c r="L118" s="25" t="s">
        <v>187</v>
      </c>
    </row>
    <row r="119" ht="15.75" customHeight="1">
      <c r="A119" s="27" t="s">
        <v>3622</v>
      </c>
      <c r="B119" s="27" t="s">
        <v>779</v>
      </c>
      <c r="C119" s="27" t="s">
        <v>3517</v>
      </c>
      <c r="D119" s="27" t="s">
        <v>3481</v>
      </c>
      <c r="E119" s="27" t="s">
        <v>3518</v>
      </c>
      <c r="F119" s="27" t="s">
        <v>238</v>
      </c>
      <c r="G119" s="33">
        <v>45559.0</v>
      </c>
      <c r="H119" s="33">
        <v>45566.0</v>
      </c>
      <c r="I119" s="26">
        <v>8.0</v>
      </c>
      <c r="J119" s="27" t="s">
        <v>3497</v>
      </c>
      <c r="K119" s="27"/>
      <c r="L119" s="27" t="s">
        <v>187</v>
      </c>
    </row>
    <row r="120" ht="15.75" customHeight="1">
      <c r="A120" s="25" t="s">
        <v>3623</v>
      </c>
      <c r="B120" s="25" t="s">
        <v>779</v>
      </c>
      <c r="C120" s="25" t="s">
        <v>3510</v>
      </c>
      <c r="D120" s="25" t="s">
        <v>3485</v>
      </c>
      <c r="E120" s="25" t="s">
        <v>3486</v>
      </c>
      <c r="F120" s="25" t="s">
        <v>329</v>
      </c>
      <c r="G120" s="30">
        <v>44863.0</v>
      </c>
      <c r="H120" s="30">
        <v>44878.0</v>
      </c>
      <c r="I120" s="24">
        <v>40.0</v>
      </c>
      <c r="J120" s="25" t="s">
        <v>3497</v>
      </c>
      <c r="K120" s="25"/>
      <c r="L120" s="25" t="s">
        <v>181</v>
      </c>
    </row>
    <row r="121" ht="15.75" customHeight="1">
      <c r="A121" s="27" t="s">
        <v>3624</v>
      </c>
      <c r="B121" s="27" t="s">
        <v>786</v>
      </c>
      <c r="C121" s="27" t="s">
        <v>3517</v>
      </c>
      <c r="D121" s="27" t="s">
        <v>3481</v>
      </c>
      <c r="E121" s="27" t="s">
        <v>3518</v>
      </c>
      <c r="F121" s="27" t="s">
        <v>238</v>
      </c>
      <c r="G121" s="33">
        <v>44595.0</v>
      </c>
      <c r="H121" s="33">
        <v>44624.0</v>
      </c>
      <c r="I121" s="26">
        <v>24.0</v>
      </c>
      <c r="J121" s="27" t="s">
        <v>66</v>
      </c>
      <c r="K121" s="26">
        <v>76.0</v>
      </c>
      <c r="L121" s="27" t="s">
        <v>187</v>
      </c>
    </row>
    <row r="122" ht="15.75" customHeight="1">
      <c r="A122" s="25" t="s">
        <v>3625</v>
      </c>
      <c r="B122" s="25" t="s">
        <v>786</v>
      </c>
      <c r="C122" s="25" t="s">
        <v>3529</v>
      </c>
      <c r="D122" s="25" t="s">
        <v>3481</v>
      </c>
      <c r="E122" s="25" t="s">
        <v>3530</v>
      </c>
      <c r="F122" s="25" t="s">
        <v>333</v>
      </c>
      <c r="G122" s="30">
        <v>45379.0</v>
      </c>
      <c r="H122" s="30">
        <v>45394.0</v>
      </c>
      <c r="I122" s="24">
        <v>16.0</v>
      </c>
      <c r="J122" s="25" t="s">
        <v>3497</v>
      </c>
      <c r="K122" s="25"/>
      <c r="L122" s="25" t="s">
        <v>181</v>
      </c>
    </row>
    <row r="123" ht="15.75" customHeight="1">
      <c r="A123" s="27" t="s">
        <v>3626</v>
      </c>
      <c r="B123" s="27" t="s">
        <v>786</v>
      </c>
      <c r="C123" s="27" t="s">
        <v>3492</v>
      </c>
      <c r="D123" s="27" t="s">
        <v>3485</v>
      </c>
      <c r="E123" s="27" t="s">
        <v>3486</v>
      </c>
      <c r="F123" s="27" t="s">
        <v>234</v>
      </c>
      <c r="G123" s="33">
        <v>45510.0</v>
      </c>
      <c r="H123" s="33">
        <v>45515.0</v>
      </c>
      <c r="I123" s="26">
        <v>4.0</v>
      </c>
      <c r="J123" s="27" t="s">
        <v>66</v>
      </c>
      <c r="K123" s="26">
        <v>75.0</v>
      </c>
      <c r="L123" s="27" t="s">
        <v>181</v>
      </c>
    </row>
    <row r="124" ht="15.75" customHeight="1">
      <c r="A124" s="25" t="s">
        <v>3627</v>
      </c>
      <c r="B124" s="25" t="s">
        <v>794</v>
      </c>
      <c r="C124" s="25" t="s">
        <v>3510</v>
      </c>
      <c r="D124" s="25" t="s">
        <v>3485</v>
      </c>
      <c r="E124" s="25" t="s">
        <v>3486</v>
      </c>
      <c r="F124" s="25" t="s">
        <v>329</v>
      </c>
      <c r="G124" s="30">
        <v>45328.0</v>
      </c>
      <c r="H124" s="30">
        <v>45330.0</v>
      </c>
      <c r="I124" s="24">
        <v>24.0</v>
      </c>
      <c r="J124" s="25" t="s">
        <v>66</v>
      </c>
      <c r="K124" s="24">
        <v>87.0</v>
      </c>
      <c r="L124" s="25" t="s">
        <v>181</v>
      </c>
    </row>
    <row r="125" ht="15.75" customHeight="1">
      <c r="A125" s="27" t="s">
        <v>3628</v>
      </c>
      <c r="B125" s="27" t="s">
        <v>801</v>
      </c>
      <c r="C125" s="27" t="s">
        <v>3510</v>
      </c>
      <c r="D125" s="27" t="s">
        <v>3485</v>
      </c>
      <c r="E125" s="27" t="s">
        <v>3486</v>
      </c>
      <c r="F125" s="27" t="s">
        <v>329</v>
      </c>
      <c r="G125" s="33">
        <v>44644.0</v>
      </c>
      <c r="H125" s="33">
        <v>44674.0</v>
      </c>
      <c r="I125" s="26">
        <v>24.0</v>
      </c>
      <c r="J125" s="27" t="s">
        <v>3487</v>
      </c>
      <c r="K125" s="27"/>
      <c r="L125" s="27" t="s">
        <v>181</v>
      </c>
    </row>
    <row r="126" ht="15.75" customHeight="1">
      <c r="A126" s="25" t="s">
        <v>3629</v>
      </c>
      <c r="B126" s="25" t="s">
        <v>801</v>
      </c>
      <c r="C126" s="25" t="s">
        <v>3513</v>
      </c>
      <c r="D126" s="25" t="s">
        <v>3481</v>
      </c>
      <c r="E126" s="25" t="s">
        <v>3514</v>
      </c>
      <c r="F126" s="25" t="s">
        <v>313</v>
      </c>
      <c r="G126" s="30">
        <v>45283.0</v>
      </c>
      <c r="H126" s="30">
        <v>45294.0</v>
      </c>
      <c r="I126" s="24">
        <v>32.0</v>
      </c>
      <c r="J126" s="25" t="s">
        <v>66</v>
      </c>
      <c r="K126" s="24">
        <v>70.0</v>
      </c>
      <c r="L126" s="25" t="s">
        <v>181</v>
      </c>
    </row>
    <row r="127" ht="15.75" customHeight="1">
      <c r="A127" s="27" t="s">
        <v>3630</v>
      </c>
      <c r="B127" s="27" t="s">
        <v>801</v>
      </c>
      <c r="C127" s="27" t="s">
        <v>3538</v>
      </c>
      <c r="D127" s="27" t="s">
        <v>3485</v>
      </c>
      <c r="E127" s="27" t="s">
        <v>3486</v>
      </c>
      <c r="F127" s="27" t="s">
        <v>234</v>
      </c>
      <c r="G127" s="33">
        <v>44769.0</v>
      </c>
      <c r="H127" s="33">
        <v>44774.0</v>
      </c>
      <c r="I127" s="26">
        <v>32.0</v>
      </c>
      <c r="J127" s="27" t="s">
        <v>3497</v>
      </c>
      <c r="K127" s="27"/>
      <c r="L127" s="27" t="s">
        <v>187</v>
      </c>
    </row>
    <row r="128" ht="15.75" customHeight="1">
      <c r="A128" s="25" t="s">
        <v>3631</v>
      </c>
      <c r="B128" s="25" t="s">
        <v>801</v>
      </c>
      <c r="C128" s="25" t="s">
        <v>3489</v>
      </c>
      <c r="D128" s="25" t="s">
        <v>3485</v>
      </c>
      <c r="E128" s="25" t="s">
        <v>3486</v>
      </c>
      <c r="F128" s="25" t="s">
        <v>336</v>
      </c>
      <c r="G128" s="30">
        <v>44684.0</v>
      </c>
      <c r="H128" s="30">
        <v>44685.0</v>
      </c>
      <c r="I128" s="24">
        <v>40.0</v>
      </c>
      <c r="J128" s="25" t="s">
        <v>66</v>
      </c>
      <c r="K128" s="24">
        <v>93.0</v>
      </c>
      <c r="L128" s="25" t="s">
        <v>187</v>
      </c>
    </row>
    <row r="129" ht="15.75" customHeight="1">
      <c r="A129" s="27" t="s">
        <v>3632</v>
      </c>
      <c r="B129" s="27" t="s">
        <v>801</v>
      </c>
      <c r="C129" s="27" t="s">
        <v>3547</v>
      </c>
      <c r="D129" s="27" t="s">
        <v>3485</v>
      </c>
      <c r="E129" s="27" t="s">
        <v>3486</v>
      </c>
      <c r="F129" s="27" t="s">
        <v>340</v>
      </c>
      <c r="G129" s="33">
        <v>44611.0</v>
      </c>
      <c r="H129" s="33">
        <v>44626.0</v>
      </c>
      <c r="I129" s="26">
        <v>32.0</v>
      </c>
      <c r="J129" s="27" t="s">
        <v>66</v>
      </c>
      <c r="K129" s="26">
        <v>89.0</v>
      </c>
      <c r="L129" s="27" t="s">
        <v>187</v>
      </c>
    </row>
    <row r="130" ht="15.75" customHeight="1">
      <c r="A130" s="25" t="s">
        <v>3633</v>
      </c>
      <c r="B130" s="25" t="s">
        <v>808</v>
      </c>
      <c r="C130" s="25" t="s">
        <v>3513</v>
      </c>
      <c r="D130" s="25" t="s">
        <v>3481</v>
      </c>
      <c r="E130" s="25" t="s">
        <v>3514</v>
      </c>
      <c r="F130" s="25" t="s">
        <v>313</v>
      </c>
      <c r="G130" s="30">
        <v>44814.0</v>
      </c>
      <c r="H130" s="30">
        <v>44843.0</v>
      </c>
      <c r="I130" s="24">
        <v>24.0</v>
      </c>
      <c r="J130" s="25" t="s">
        <v>66</v>
      </c>
      <c r="K130" s="24">
        <v>87.0</v>
      </c>
      <c r="L130" s="25" t="s">
        <v>181</v>
      </c>
    </row>
    <row r="131" ht="15.75" customHeight="1">
      <c r="A131" s="27" t="s">
        <v>3634</v>
      </c>
      <c r="B131" s="27" t="s">
        <v>808</v>
      </c>
      <c r="C131" s="27" t="s">
        <v>3510</v>
      </c>
      <c r="D131" s="27" t="s">
        <v>3485</v>
      </c>
      <c r="E131" s="27" t="s">
        <v>3486</v>
      </c>
      <c r="F131" s="27" t="s">
        <v>329</v>
      </c>
      <c r="G131" s="33">
        <v>45598.0</v>
      </c>
      <c r="H131" s="33">
        <v>45601.0</v>
      </c>
      <c r="I131" s="26">
        <v>8.0</v>
      </c>
      <c r="J131" s="27" t="s">
        <v>3487</v>
      </c>
      <c r="K131" s="27"/>
      <c r="L131" s="27" t="s">
        <v>187</v>
      </c>
    </row>
    <row r="132" ht="15.75" customHeight="1">
      <c r="A132" s="25" t="s">
        <v>3635</v>
      </c>
      <c r="B132" s="25" t="s">
        <v>808</v>
      </c>
      <c r="C132" s="25" t="s">
        <v>3507</v>
      </c>
      <c r="D132" s="25" t="s">
        <v>3481</v>
      </c>
      <c r="E132" s="25" t="s">
        <v>3508</v>
      </c>
      <c r="F132" s="25" t="s">
        <v>288</v>
      </c>
      <c r="G132" s="30">
        <v>45238.0</v>
      </c>
      <c r="H132" s="30">
        <v>45260.0</v>
      </c>
      <c r="I132" s="24">
        <v>40.0</v>
      </c>
      <c r="J132" s="25" t="s">
        <v>3497</v>
      </c>
      <c r="K132" s="25"/>
      <c r="L132" s="25" t="s">
        <v>187</v>
      </c>
    </row>
    <row r="133" ht="15.75" customHeight="1">
      <c r="A133" s="27" t="s">
        <v>3636</v>
      </c>
      <c r="B133" s="27" t="s">
        <v>808</v>
      </c>
      <c r="C133" s="27" t="s">
        <v>3496</v>
      </c>
      <c r="D133" s="27" t="s">
        <v>3485</v>
      </c>
      <c r="E133" s="27" t="s">
        <v>3486</v>
      </c>
      <c r="F133" s="27" t="s">
        <v>263</v>
      </c>
      <c r="G133" s="33">
        <v>44856.0</v>
      </c>
      <c r="H133" s="33">
        <v>44861.0</v>
      </c>
      <c r="I133" s="26">
        <v>8.0</v>
      </c>
      <c r="J133" s="27" t="s">
        <v>3497</v>
      </c>
      <c r="K133" s="27"/>
      <c r="L133" s="27" t="s">
        <v>181</v>
      </c>
    </row>
    <row r="134" ht="15.75" customHeight="1">
      <c r="A134" s="25" t="s">
        <v>3637</v>
      </c>
      <c r="B134" s="25" t="s">
        <v>808</v>
      </c>
      <c r="C134" s="25" t="s">
        <v>3538</v>
      </c>
      <c r="D134" s="25" t="s">
        <v>3485</v>
      </c>
      <c r="E134" s="25" t="s">
        <v>3486</v>
      </c>
      <c r="F134" s="25" t="s">
        <v>234</v>
      </c>
      <c r="G134" s="30">
        <v>45348.0</v>
      </c>
      <c r="H134" s="30">
        <v>45357.0</v>
      </c>
      <c r="I134" s="24">
        <v>4.0</v>
      </c>
      <c r="J134" s="25" t="s">
        <v>66</v>
      </c>
      <c r="K134" s="24">
        <v>62.0</v>
      </c>
      <c r="L134" s="25" t="s">
        <v>187</v>
      </c>
    </row>
    <row r="135" ht="15.75" customHeight="1">
      <c r="A135" s="27" t="s">
        <v>3638</v>
      </c>
      <c r="B135" s="27" t="s">
        <v>815</v>
      </c>
      <c r="C135" s="27" t="s">
        <v>3492</v>
      </c>
      <c r="D135" s="27" t="s">
        <v>3485</v>
      </c>
      <c r="E135" s="27" t="s">
        <v>3486</v>
      </c>
      <c r="F135" s="27" t="s">
        <v>234</v>
      </c>
      <c r="G135" s="33">
        <v>44960.0</v>
      </c>
      <c r="H135" s="33">
        <v>44974.0</v>
      </c>
      <c r="I135" s="26">
        <v>24.0</v>
      </c>
      <c r="J135" s="27" t="s">
        <v>66</v>
      </c>
      <c r="K135" s="26">
        <v>69.0</v>
      </c>
      <c r="L135" s="27" t="s">
        <v>187</v>
      </c>
    </row>
    <row r="136" ht="15.75" customHeight="1">
      <c r="A136" s="25" t="s">
        <v>3639</v>
      </c>
      <c r="B136" s="25" t="s">
        <v>822</v>
      </c>
      <c r="C136" s="25" t="s">
        <v>3484</v>
      </c>
      <c r="D136" s="25" t="s">
        <v>3485</v>
      </c>
      <c r="E136" s="25" t="s">
        <v>3486</v>
      </c>
      <c r="F136" s="25" t="s">
        <v>284</v>
      </c>
      <c r="G136" s="30">
        <v>44896.0</v>
      </c>
      <c r="H136" s="30">
        <v>44924.0</v>
      </c>
      <c r="I136" s="24">
        <v>40.0</v>
      </c>
      <c r="J136" s="25" t="s">
        <v>66</v>
      </c>
      <c r="K136" s="24">
        <v>90.0</v>
      </c>
      <c r="L136" s="25" t="s">
        <v>181</v>
      </c>
    </row>
    <row r="137" ht="15.75" customHeight="1">
      <c r="A137" s="27" t="s">
        <v>3640</v>
      </c>
      <c r="B137" s="27" t="s">
        <v>822</v>
      </c>
      <c r="C137" s="27" t="s">
        <v>3510</v>
      </c>
      <c r="D137" s="27" t="s">
        <v>3485</v>
      </c>
      <c r="E137" s="27" t="s">
        <v>3486</v>
      </c>
      <c r="F137" s="27" t="s">
        <v>329</v>
      </c>
      <c r="G137" s="33">
        <v>45010.0</v>
      </c>
      <c r="H137" s="33">
        <v>45025.0</v>
      </c>
      <c r="I137" s="26">
        <v>8.0</v>
      </c>
      <c r="J137" s="27" t="s">
        <v>3487</v>
      </c>
      <c r="K137" s="27"/>
      <c r="L137" s="27" t="s">
        <v>187</v>
      </c>
    </row>
    <row r="138" ht="15.75" customHeight="1">
      <c r="A138" s="25" t="s">
        <v>3641</v>
      </c>
      <c r="B138" s="25" t="s">
        <v>822</v>
      </c>
      <c r="C138" s="25" t="s">
        <v>3529</v>
      </c>
      <c r="D138" s="25" t="s">
        <v>3481</v>
      </c>
      <c r="E138" s="25" t="s">
        <v>3530</v>
      </c>
      <c r="F138" s="25" t="s">
        <v>333</v>
      </c>
      <c r="G138" s="30">
        <v>44795.0</v>
      </c>
      <c r="H138" s="30">
        <v>44798.0</v>
      </c>
      <c r="I138" s="24">
        <v>16.0</v>
      </c>
      <c r="J138" s="25" t="s">
        <v>66</v>
      </c>
      <c r="K138" s="24">
        <v>99.0</v>
      </c>
      <c r="L138" s="25" t="s">
        <v>187</v>
      </c>
    </row>
    <row r="139" ht="15.75" customHeight="1">
      <c r="A139" s="27" t="s">
        <v>3642</v>
      </c>
      <c r="B139" s="27" t="s">
        <v>822</v>
      </c>
      <c r="C139" s="27" t="s">
        <v>3496</v>
      </c>
      <c r="D139" s="27" t="s">
        <v>3485</v>
      </c>
      <c r="E139" s="27" t="s">
        <v>3486</v>
      </c>
      <c r="F139" s="27" t="s">
        <v>263</v>
      </c>
      <c r="G139" s="33">
        <v>45522.0</v>
      </c>
      <c r="H139" s="33">
        <v>45531.0</v>
      </c>
      <c r="I139" s="26">
        <v>32.0</v>
      </c>
      <c r="J139" s="27" t="s">
        <v>66</v>
      </c>
      <c r="K139" s="26">
        <v>81.0</v>
      </c>
      <c r="L139" s="27" t="s">
        <v>187</v>
      </c>
    </row>
    <row r="140" ht="15.75" customHeight="1">
      <c r="A140" s="25" t="s">
        <v>3643</v>
      </c>
      <c r="B140" s="25" t="s">
        <v>822</v>
      </c>
      <c r="C140" s="25" t="s">
        <v>3480</v>
      </c>
      <c r="D140" s="25" t="s">
        <v>3481</v>
      </c>
      <c r="E140" s="25" t="s">
        <v>3482</v>
      </c>
      <c r="F140" s="25" t="s">
        <v>246</v>
      </c>
      <c r="G140" s="30">
        <v>45640.0</v>
      </c>
      <c r="H140" s="30">
        <v>45645.0</v>
      </c>
      <c r="I140" s="24">
        <v>40.0</v>
      </c>
      <c r="J140" s="25" t="s">
        <v>66</v>
      </c>
      <c r="K140" s="24">
        <v>97.0</v>
      </c>
      <c r="L140" s="25" t="s">
        <v>187</v>
      </c>
    </row>
    <row r="141" ht="15.75" customHeight="1">
      <c r="A141" s="27" t="s">
        <v>3644</v>
      </c>
      <c r="B141" s="27" t="s">
        <v>830</v>
      </c>
      <c r="C141" s="27" t="s">
        <v>3501</v>
      </c>
      <c r="D141" s="27" t="s">
        <v>3481</v>
      </c>
      <c r="E141" s="27" t="s">
        <v>3502</v>
      </c>
      <c r="F141" s="27" t="s">
        <v>266</v>
      </c>
      <c r="G141" s="33">
        <v>45551.0</v>
      </c>
      <c r="H141" s="33">
        <v>45560.0</v>
      </c>
      <c r="I141" s="26">
        <v>32.0</v>
      </c>
      <c r="J141" s="27" t="s">
        <v>66</v>
      </c>
      <c r="K141" s="26">
        <v>79.0</v>
      </c>
      <c r="L141" s="27" t="s">
        <v>187</v>
      </c>
    </row>
    <row r="142" ht="15.75" customHeight="1">
      <c r="A142" s="25" t="s">
        <v>3645</v>
      </c>
      <c r="B142" s="25" t="s">
        <v>830</v>
      </c>
      <c r="C142" s="25" t="s">
        <v>3529</v>
      </c>
      <c r="D142" s="25" t="s">
        <v>3481</v>
      </c>
      <c r="E142" s="25" t="s">
        <v>3530</v>
      </c>
      <c r="F142" s="25" t="s">
        <v>333</v>
      </c>
      <c r="G142" s="30">
        <v>45390.0</v>
      </c>
      <c r="H142" s="30">
        <v>45392.0</v>
      </c>
      <c r="I142" s="24">
        <v>16.0</v>
      </c>
      <c r="J142" s="25" t="s">
        <v>3487</v>
      </c>
      <c r="K142" s="25"/>
      <c r="L142" s="25" t="s">
        <v>187</v>
      </c>
    </row>
    <row r="143" ht="15.75" customHeight="1">
      <c r="A143" s="27" t="s">
        <v>3646</v>
      </c>
      <c r="B143" s="27" t="s">
        <v>830</v>
      </c>
      <c r="C143" s="27" t="s">
        <v>3507</v>
      </c>
      <c r="D143" s="27" t="s">
        <v>3481</v>
      </c>
      <c r="E143" s="27" t="s">
        <v>3508</v>
      </c>
      <c r="F143" s="27" t="s">
        <v>288</v>
      </c>
      <c r="G143" s="33">
        <v>44780.0</v>
      </c>
      <c r="H143" s="33">
        <v>44807.0</v>
      </c>
      <c r="I143" s="26">
        <v>8.0</v>
      </c>
      <c r="J143" s="27" t="s">
        <v>66</v>
      </c>
      <c r="K143" s="26">
        <v>74.0</v>
      </c>
      <c r="L143" s="27" t="s">
        <v>181</v>
      </c>
    </row>
    <row r="144" ht="15.75" customHeight="1">
      <c r="A144" s="25" t="s">
        <v>3647</v>
      </c>
      <c r="B144" s="25" t="s">
        <v>830</v>
      </c>
      <c r="C144" s="25" t="s">
        <v>3496</v>
      </c>
      <c r="D144" s="25" t="s">
        <v>3485</v>
      </c>
      <c r="E144" s="25" t="s">
        <v>3486</v>
      </c>
      <c r="F144" s="25" t="s">
        <v>263</v>
      </c>
      <c r="G144" s="30">
        <v>45512.0</v>
      </c>
      <c r="H144" s="30">
        <v>45541.0</v>
      </c>
      <c r="I144" s="24">
        <v>4.0</v>
      </c>
      <c r="J144" s="25" t="s">
        <v>66</v>
      </c>
      <c r="K144" s="24">
        <v>94.0</v>
      </c>
      <c r="L144" s="25" t="s">
        <v>187</v>
      </c>
    </row>
    <row r="145" ht="15.75" customHeight="1">
      <c r="A145" s="27" t="s">
        <v>3648</v>
      </c>
      <c r="B145" s="27" t="s">
        <v>830</v>
      </c>
      <c r="C145" s="27" t="s">
        <v>3517</v>
      </c>
      <c r="D145" s="27" t="s">
        <v>3481</v>
      </c>
      <c r="E145" s="27" t="s">
        <v>3518</v>
      </c>
      <c r="F145" s="27" t="s">
        <v>238</v>
      </c>
      <c r="G145" s="33">
        <v>45407.0</v>
      </c>
      <c r="H145" s="33">
        <v>45431.0</v>
      </c>
      <c r="I145" s="26">
        <v>32.0</v>
      </c>
      <c r="J145" s="27" t="s">
        <v>66</v>
      </c>
      <c r="K145" s="26">
        <v>81.0</v>
      </c>
      <c r="L145" s="27" t="s">
        <v>187</v>
      </c>
    </row>
    <row r="146" ht="15.75" customHeight="1">
      <c r="A146" s="25" t="s">
        <v>3649</v>
      </c>
      <c r="B146" s="25" t="s">
        <v>837</v>
      </c>
      <c r="C146" s="25" t="s">
        <v>3529</v>
      </c>
      <c r="D146" s="25" t="s">
        <v>3481</v>
      </c>
      <c r="E146" s="25" t="s">
        <v>3530</v>
      </c>
      <c r="F146" s="25" t="s">
        <v>333</v>
      </c>
      <c r="G146" s="30">
        <v>44894.0</v>
      </c>
      <c r="H146" s="30">
        <v>44914.0</v>
      </c>
      <c r="I146" s="24">
        <v>40.0</v>
      </c>
      <c r="J146" s="25" t="s">
        <v>66</v>
      </c>
      <c r="K146" s="24">
        <v>64.0</v>
      </c>
      <c r="L146" s="25" t="s">
        <v>187</v>
      </c>
    </row>
    <row r="147" ht="15.75" customHeight="1">
      <c r="A147" s="27" t="s">
        <v>3650</v>
      </c>
      <c r="B147" s="27" t="s">
        <v>843</v>
      </c>
      <c r="C147" s="27" t="s">
        <v>3517</v>
      </c>
      <c r="D147" s="27" t="s">
        <v>3481</v>
      </c>
      <c r="E147" s="27" t="s">
        <v>3518</v>
      </c>
      <c r="F147" s="27" t="s">
        <v>238</v>
      </c>
      <c r="G147" s="33">
        <v>45393.0</v>
      </c>
      <c r="H147" s="33">
        <v>45420.0</v>
      </c>
      <c r="I147" s="26">
        <v>24.0</v>
      </c>
      <c r="J147" s="27" t="s">
        <v>66</v>
      </c>
      <c r="K147" s="26">
        <v>90.0</v>
      </c>
      <c r="L147" s="27" t="s">
        <v>181</v>
      </c>
    </row>
    <row r="148" ht="15.75" customHeight="1">
      <c r="A148" s="25" t="s">
        <v>3651</v>
      </c>
      <c r="B148" s="25" t="s">
        <v>849</v>
      </c>
      <c r="C148" s="25" t="s">
        <v>3513</v>
      </c>
      <c r="D148" s="25" t="s">
        <v>3481</v>
      </c>
      <c r="E148" s="25" t="s">
        <v>3514</v>
      </c>
      <c r="F148" s="25" t="s">
        <v>313</v>
      </c>
      <c r="G148" s="30">
        <v>45044.0</v>
      </c>
      <c r="H148" s="30">
        <v>45060.0</v>
      </c>
      <c r="I148" s="24">
        <v>24.0</v>
      </c>
      <c r="J148" s="25" t="s">
        <v>3497</v>
      </c>
      <c r="K148" s="25"/>
      <c r="L148" s="25" t="s">
        <v>187</v>
      </c>
    </row>
    <row r="149" ht="15.75" customHeight="1">
      <c r="A149" s="27" t="s">
        <v>3652</v>
      </c>
      <c r="B149" s="27" t="s">
        <v>849</v>
      </c>
      <c r="C149" s="27" t="s">
        <v>3480</v>
      </c>
      <c r="D149" s="27" t="s">
        <v>3481</v>
      </c>
      <c r="E149" s="27" t="s">
        <v>3482</v>
      </c>
      <c r="F149" s="27" t="s">
        <v>246</v>
      </c>
      <c r="G149" s="33">
        <v>45000.0</v>
      </c>
      <c r="H149" s="33">
        <v>45013.0</v>
      </c>
      <c r="I149" s="26">
        <v>8.0</v>
      </c>
      <c r="J149" s="27" t="s">
        <v>66</v>
      </c>
      <c r="K149" s="26">
        <v>78.0</v>
      </c>
      <c r="L149" s="27" t="s">
        <v>181</v>
      </c>
    </row>
    <row r="150" ht="15.75" customHeight="1">
      <c r="A150" s="25" t="s">
        <v>3653</v>
      </c>
      <c r="B150" s="25" t="s">
        <v>849</v>
      </c>
      <c r="C150" s="25" t="s">
        <v>3510</v>
      </c>
      <c r="D150" s="25" t="s">
        <v>3485</v>
      </c>
      <c r="E150" s="25" t="s">
        <v>3486</v>
      </c>
      <c r="F150" s="25" t="s">
        <v>329</v>
      </c>
      <c r="G150" s="30">
        <v>44899.0</v>
      </c>
      <c r="H150" s="30">
        <v>44910.0</v>
      </c>
      <c r="I150" s="24">
        <v>16.0</v>
      </c>
      <c r="J150" s="25" t="s">
        <v>66</v>
      </c>
      <c r="K150" s="24">
        <v>97.0</v>
      </c>
      <c r="L150" s="25" t="s">
        <v>187</v>
      </c>
    </row>
    <row r="151" ht="15.75" customHeight="1">
      <c r="A151" s="27" t="s">
        <v>3654</v>
      </c>
      <c r="B151" s="27" t="s">
        <v>855</v>
      </c>
      <c r="C151" s="27" t="s">
        <v>3480</v>
      </c>
      <c r="D151" s="27" t="s">
        <v>3481</v>
      </c>
      <c r="E151" s="27" t="s">
        <v>3482</v>
      </c>
      <c r="F151" s="27" t="s">
        <v>246</v>
      </c>
      <c r="G151" s="33">
        <v>44730.0</v>
      </c>
      <c r="H151" s="33">
        <v>44733.0</v>
      </c>
      <c r="I151" s="26">
        <v>4.0</v>
      </c>
      <c r="J151" s="27" t="s">
        <v>3497</v>
      </c>
      <c r="K151" s="27"/>
      <c r="L151" s="27" t="s">
        <v>181</v>
      </c>
    </row>
    <row r="152" ht="15.75" customHeight="1">
      <c r="A152" s="25" t="s">
        <v>3655</v>
      </c>
      <c r="B152" s="25" t="s">
        <v>862</v>
      </c>
      <c r="C152" s="25" t="s">
        <v>3517</v>
      </c>
      <c r="D152" s="25" t="s">
        <v>3481</v>
      </c>
      <c r="E152" s="25" t="s">
        <v>3518</v>
      </c>
      <c r="F152" s="25" t="s">
        <v>238</v>
      </c>
      <c r="G152" s="30">
        <v>44667.0</v>
      </c>
      <c r="H152" s="30">
        <v>44668.0</v>
      </c>
      <c r="I152" s="24">
        <v>4.0</v>
      </c>
      <c r="J152" s="25" t="s">
        <v>66</v>
      </c>
      <c r="K152" s="24">
        <v>68.0</v>
      </c>
      <c r="L152" s="25" t="s">
        <v>187</v>
      </c>
    </row>
    <row r="153" ht="15.75" customHeight="1">
      <c r="A153" s="27" t="s">
        <v>3656</v>
      </c>
      <c r="B153" s="27" t="s">
        <v>862</v>
      </c>
      <c r="C153" s="27" t="s">
        <v>3547</v>
      </c>
      <c r="D153" s="27" t="s">
        <v>3485</v>
      </c>
      <c r="E153" s="27" t="s">
        <v>3486</v>
      </c>
      <c r="F153" s="27" t="s">
        <v>340</v>
      </c>
      <c r="G153" s="33">
        <v>45313.0</v>
      </c>
      <c r="H153" s="33">
        <v>45335.0</v>
      </c>
      <c r="I153" s="26">
        <v>40.0</v>
      </c>
      <c r="J153" s="27" t="s">
        <v>66</v>
      </c>
      <c r="K153" s="26">
        <v>82.0</v>
      </c>
      <c r="L153" s="27" t="s">
        <v>181</v>
      </c>
    </row>
    <row r="154" ht="15.75" customHeight="1">
      <c r="A154" s="25" t="s">
        <v>3657</v>
      </c>
      <c r="B154" s="25" t="s">
        <v>862</v>
      </c>
      <c r="C154" s="25" t="s">
        <v>3480</v>
      </c>
      <c r="D154" s="25" t="s">
        <v>3481</v>
      </c>
      <c r="E154" s="25" t="s">
        <v>3482</v>
      </c>
      <c r="F154" s="25" t="s">
        <v>246</v>
      </c>
      <c r="G154" s="30">
        <v>44644.0</v>
      </c>
      <c r="H154" s="30">
        <v>44650.0</v>
      </c>
      <c r="I154" s="24">
        <v>16.0</v>
      </c>
      <c r="J154" s="25" t="s">
        <v>3497</v>
      </c>
      <c r="K154" s="25"/>
      <c r="L154" s="25" t="s">
        <v>181</v>
      </c>
    </row>
    <row r="155" ht="15.75" customHeight="1">
      <c r="A155" s="27" t="s">
        <v>3658</v>
      </c>
      <c r="B155" s="27" t="s">
        <v>862</v>
      </c>
      <c r="C155" s="27" t="s">
        <v>3504</v>
      </c>
      <c r="D155" s="27" t="s">
        <v>3481</v>
      </c>
      <c r="E155" s="27" t="s">
        <v>3505</v>
      </c>
      <c r="F155" s="27" t="s">
        <v>229</v>
      </c>
      <c r="G155" s="33">
        <v>44641.0</v>
      </c>
      <c r="H155" s="33">
        <v>44660.0</v>
      </c>
      <c r="I155" s="26">
        <v>4.0</v>
      </c>
      <c r="J155" s="27" t="s">
        <v>66</v>
      </c>
      <c r="K155" s="26">
        <v>99.0</v>
      </c>
      <c r="L155" s="27" t="s">
        <v>181</v>
      </c>
    </row>
    <row r="156" ht="15.75" customHeight="1">
      <c r="A156" s="25" t="s">
        <v>3659</v>
      </c>
      <c r="B156" s="25" t="s">
        <v>862</v>
      </c>
      <c r="C156" s="25" t="s">
        <v>3492</v>
      </c>
      <c r="D156" s="25" t="s">
        <v>3485</v>
      </c>
      <c r="E156" s="25" t="s">
        <v>3486</v>
      </c>
      <c r="F156" s="25" t="s">
        <v>234</v>
      </c>
      <c r="G156" s="30">
        <v>44955.0</v>
      </c>
      <c r="H156" s="30">
        <v>44981.0</v>
      </c>
      <c r="I156" s="24">
        <v>24.0</v>
      </c>
      <c r="J156" s="25" t="s">
        <v>66</v>
      </c>
      <c r="K156" s="24">
        <v>91.0</v>
      </c>
      <c r="L156" s="25" t="s">
        <v>181</v>
      </c>
    </row>
    <row r="157" ht="15.75" customHeight="1">
      <c r="A157" s="27" t="s">
        <v>3660</v>
      </c>
      <c r="B157" s="27" t="s">
        <v>868</v>
      </c>
      <c r="C157" s="27" t="s">
        <v>3484</v>
      </c>
      <c r="D157" s="27" t="s">
        <v>3485</v>
      </c>
      <c r="E157" s="27" t="s">
        <v>3486</v>
      </c>
      <c r="F157" s="27" t="s">
        <v>284</v>
      </c>
      <c r="G157" s="33">
        <v>45639.0</v>
      </c>
      <c r="H157" s="33">
        <v>45642.0</v>
      </c>
      <c r="I157" s="26">
        <v>16.0</v>
      </c>
      <c r="J157" s="27" t="s">
        <v>3497</v>
      </c>
      <c r="K157" s="27"/>
      <c r="L157" s="27" t="s">
        <v>181</v>
      </c>
    </row>
    <row r="158" ht="15.75" customHeight="1">
      <c r="A158" s="25" t="s">
        <v>3661</v>
      </c>
      <c r="B158" s="25" t="s">
        <v>868</v>
      </c>
      <c r="C158" s="25" t="s">
        <v>3510</v>
      </c>
      <c r="D158" s="25" t="s">
        <v>3485</v>
      </c>
      <c r="E158" s="25" t="s">
        <v>3486</v>
      </c>
      <c r="F158" s="25" t="s">
        <v>329</v>
      </c>
      <c r="G158" s="30">
        <v>44695.0</v>
      </c>
      <c r="H158" s="30">
        <v>44710.0</v>
      </c>
      <c r="I158" s="24">
        <v>16.0</v>
      </c>
      <c r="J158" s="25" t="s">
        <v>66</v>
      </c>
      <c r="K158" s="24">
        <v>70.0</v>
      </c>
      <c r="L158" s="25" t="s">
        <v>181</v>
      </c>
    </row>
    <row r="159" ht="15.75" customHeight="1">
      <c r="A159" s="27" t="s">
        <v>3662</v>
      </c>
      <c r="B159" s="27" t="s">
        <v>868</v>
      </c>
      <c r="C159" s="27" t="s">
        <v>3507</v>
      </c>
      <c r="D159" s="27" t="s">
        <v>3481</v>
      </c>
      <c r="E159" s="27" t="s">
        <v>3508</v>
      </c>
      <c r="F159" s="27" t="s">
        <v>288</v>
      </c>
      <c r="G159" s="33">
        <v>45578.0</v>
      </c>
      <c r="H159" s="33">
        <v>45598.0</v>
      </c>
      <c r="I159" s="26">
        <v>16.0</v>
      </c>
      <c r="J159" s="27" t="s">
        <v>66</v>
      </c>
      <c r="K159" s="26">
        <v>62.0</v>
      </c>
      <c r="L159" s="27" t="s">
        <v>187</v>
      </c>
    </row>
    <row r="160" ht="15.75" customHeight="1">
      <c r="A160" s="25" t="s">
        <v>3663</v>
      </c>
      <c r="B160" s="25" t="s">
        <v>875</v>
      </c>
      <c r="C160" s="25" t="s">
        <v>3504</v>
      </c>
      <c r="D160" s="25" t="s">
        <v>3481</v>
      </c>
      <c r="E160" s="25" t="s">
        <v>3505</v>
      </c>
      <c r="F160" s="25" t="s">
        <v>229</v>
      </c>
      <c r="G160" s="30">
        <v>45530.0</v>
      </c>
      <c r="H160" s="30">
        <v>45556.0</v>
      </c>
      <c r="I160" s="24">
        <v>32.0</v>
      </c>
      <c r="J160" s="25" t="s">
        <v>66</v>
      </c>
      <c r="K160" s="24">
        <v>79.0</v>
      </c>
      <c r="L160" s="25" t="s">
        <v>187</v>
      </c>
    </row>
    <row r="161" ht="15.75" customHeight="1">
      <c r="A161" s="27" t="s">
        <v>3664</v>
      </c>
      <c r="B161" s="27" t="s">
        <v>875</v>
      </c>
      <c r="C161" s="27" t="s">
        <v>3492</v>
      </c>
      <c r="D161" s="27" t="s">
        <v>3485</v>
      </c>
      <c r="E161" s="27" t="s">
        <v>3486</v>
      </c>
      <c r="F161" s="27" t="s">
        <v>234</v>
      </c>
      <c r="G161" s="33">
        <v>45383.0</v>
      </c>
      <c r="H161" s="33">
        <v>45397.0</v>
      </c>
      <c r="I161" s="26">
        <v>8.0</v>
      </c>
      <c r="J161" s="27" t="s">
        <v>3497</v>
      </c>
      <c r="K161" s="27"/>
      <c r="L161" s="27" t="s">
        <v>187</v>
      </c>
    </row>
    <row r="162" ht="15.75" customHeight="1">
      <c r="A162" s="25" t="s">
        <v>3665</v>
      </c>
      <c r="B162" s="25" t="s">
        <v>875</v>
      </c>
      <c r="C162" s="25" t="s">
        <v>3489</v>
      </c>
      <c r="D162" s="25" t="s">
        <v>3485</v>
      </c>
      <c r="E162" s="25" t="s">
        <v>3486</v>
      </c>
      <c r="F162" s="25" t="s">
        <v>336</v>
      </c>
      <c r="G162" s="30">
        <v>45230.0</v>
      </c>
      <c r="H162" s="30">
        <v>45237.0</v>
      </c>
      <c r="I162" s="24">
        <v>8.0</v>
      </c>
      <c r="J162" s="25" t="s">
        <v>66</v>
      </c>
      <c r="K162" s="24">
        <v>69.0</v>
      </c>
      <c r="L162" s="25" t="s">
        <v>181</v>
      </c>
    </row>
    <row r="163" ht="15.75" customHeight="1">
      <c r="A163" s="27" t="s">
        <v>3666</v>
      </c>
      <c r="B163" s="27" t="s">
        <v>883</v>
      </c>
      <c r="C163" s="27" t="s">
        <v>3496</v>
      </c>
      <c r="D163" s="27" t="s">
        <v>3485</v>
      </c>
      <c r="E163" s="27" t="s">
        <v>3486</v>
      </c>
      <c r="F163" s="27" t="s">
        <v>263</v>
      </c>
      <c r="G163" s="33">
        <v>44803.0</v>
      </c>
      <c r="H163" s="33">
        <v>44808.0</v>
      </c>
      <c r="I163" s="26">
        <v>24.0</v>
      </c>
      <c r="J163" s="27" t="s">
        <v>66</v>
      </c>
      <c r="K163" s="26">
        <v>68.0</v>
      </c>
      <c r="L163" s="27" t="s">
        <v>181</v>
      </c>
    </row>
    <row r="164" ht="15.75" customHeight="1">
      <c r="A164" s="25" t="s">
        <v>3667</v>
      </c>
      <c r="B164" s="25" t="s">
        <v>890</v>
      </c>
      <c r="C164" s="25" t="s">
        <v>3510</v>
      </c>
      <c r="D164" s="25" t="s">
        <v>3485</v>
      </c>
      <c r="E164" s="25" t="s">
        <v>3486</v>
      </c>
      <c r="F164" s="25" t="s">
        <v>329</v>
      </c>
      <c r="G164" s="30">
        <v>45243.0</v>
      </c>
      <c r="H164" s="30">
        <v>45266.0</v>
      </c>
      <c r="I164" s="24">
        <v>8.0</v>
      </c>
      <c r="J164" s="25" t="s">
        <v>66</v>
      </c>
      <c r="K164" s="24">
        <v>90.0</v>
      </c>
      <c r="L164" s="25" t="s">
        <v>187</v>
      </c>
    </row>
    <row r="165" ht="15.75" customHeight="1">
      <c r="A165" s="27" t="s">
        <v>3668</v>
      </c>
      <c r="B165" s="27" t="s">
        <v>897</v>
      </c>
      <c r="C165" s="27" t="s">
        <v>3480</v>
      </c>
      <c r="D165" s="27" t="s">
        <v>3481</v>
      </c>
      <c r="E165" s="27" t="s">
        <v>3482</v>
      </c>
      <c r="F165" s="27" t="s">
        <v>246</v>
      </c>
      <c r="G165" s="33">
        <v>45181.0</v>
      </c>
      <c r="H165" s="33">
        <v>45211.0</v>
      </c>
      <c r="I165" s="26">
        <v>24.0</v>
      </c>
      <c r="J165" s="27" t="s">
        <v>3497</v>
      </c>
      <c r="K165" s="27"/>
      <c r="L165" s="27" t="s">
        <v>181</v>
      </c>
    </row>
    <row r="166" ht="15.75" customHeight="1">
      <c r="A166" s="25" t="s">
        <v>3669</v>
      </c>
      <c r="B166" s="25" t="s">
        <v>897</v>
      </c>
      <c r="C166" s="25" t="s">
        <v>3504</v>
      </c>
      <c r="D166" s="25" t="s">
        <v>3481</v>
      </c>
      <c r="E166" s="25" t="s">
        <v>3505</v>
      </c>
      <c r="F166" s="25" t="s">
        <v>229</v>
      </c>
      <c r="G166" s="30">
        <v>45307.0</v>
      </c>
      <c r="H166" s="30">
        <v>45313.0</v>
      </c>
      <c r="I166" s="24">
        <v>16.0</v>
      </c>
      <c r="J166" s="25" t="s">
        <v>66</v>
      </c>
      <c r="K166" s="24">
        <v>64.0</v>
      </c>
      <c r="L166" s="25" t="s">
        <v>181</v>
      </c>
    </row>
    <row r="167" ht="15.75" customHeight="1">
      <c r="A167" s="27" t="s">
        <v>3670</v>
      </c>
      <c r="B167" s="27" t="s">
        <v>897</v>
      </c>
      <c r="C167" s="27" t="s">
        <v>3501</v>
      </c>
      <c r="D167" s="27" t="s">
        <v>3481</v>
      </c>
      <c r="E167" s="27" t="s">
        <v>3502</v>
      </c>
      <c r="F167" s="27" t="s">
        <v>266</v>
      </c>
      <c r="G167" s="33">
        <v>44626.0</v>
      </c>
      <c r="H167" s="33">
        <v>44653.0</v>
      </c>
      <c r="I167" s="26">
        <v>16.0</v>
      </c>
      <c r="J167" s="27" t="s">
        <v>3497</v>
      </c>
      <c r="K167" s="27"/>
      <c r="L167" s="27" t="s">
        <v>187</v>
      </c>
    </row>
    <row r="168" ht="15.75" customHeight="1">
      <c r="A168" s="25" t="s">
        <v>3671</v>
      </c>
      <c r="B168" s="25" t="s">
        <v>897</v>
      </c>
      <c r="C168" s="25" t="s">
        <v>3489</v>
      </c>
      <c r="D168" s="25" t="s">
        <v>3485</v>
      </c>
      <c r="E168" s="25" t="s">
        <v>3486</v>
      </c>
      <c r="F168" s="25" t="s">
        <v>336</v>
      </c>
      <c r="G168" s="30">
        <v>44944.0</v>
      </c>
      <c r="H168" s="30">
        <v>44971.0</v>
      </c>
      <c r="I168" s="24">
        <v>40.0</v>
      </c>
      <c r="J168" s="25" t="s">
        <v>66</v>
      </c>
      <c r="K168" s="24">
        <v>85.0</v>
      </c>
      <c r="L168" s="25" t="s">
        <v>187</v>
      </c>
    </row>
    <row r="169" ht="15.75" customHeight="1">
      <c r="A169" s="27" t="s">
        <v>3672</v>
      </c>
      <c r="B169" s="27" t="s">
        <v>903</v>
      </c>
      <c r="C169" s="27" t="s">
        <v>3492</v>
      </c>
      <c r="D169" s="27" t="s">
        <v>3485</v>
      </c>
      <c r="E169" s="27" t="s">
        <v>3486</v>
      </c>
      <c r="F169" s="27" t="s">
        <v>234</v>
      </c>
      <c r="G169" s="33">
        <v>45206.0</v>
      </c>
      <c r="H169" s="33">
        <v>45236.0</v>
      </c>
      <c r="I169" s="26">
        <v>40.0</v>
      </c>
      <c r="J169" s="27" t="s">
        <v>3497</v>
      </c>
      <c r="K169" s="27"/>
      <c r="L169" s="27" t="s">
        <v>181</v>
      </c>
    </row>
    <row r="170" ht="15.75" customHeight="1">
      <c r="A170" s="25" t="s">
        <v>3673</v>
      </c>
      <c r="B170" s="25" t="s">
        <v>903</v>
      </c>
      <c r="C170" s="25" t="s">
        <v>3513</v>
      </c>
      <c r="D170" s="25" t="s">
        <v>3481</v>
      </c>
      <c r="E170" s="25" t="s">
        <v>3514</v>
      </c>
      <c r="F170" s="25" t="s">
        <v>313</v>
      </c>
      <c r="G170" s="30">
        <v>44577.0</v>
      </c>
      <c r="H170" s="30">
        <v>44605.0</v>
      </c>
      <c r="I170" s="24">
        <v>16.0</v>
      </c>
      <c r="J170" s="25" t="s">
        <v>3497</v>
      </c>
      <c r="K170" s="25"/>
      <c r="L170" s="25" t="s">
        <v>187</v>
      </c>
    </row>
    <row r="171" ht="15.75" customHeight="1">
      <c r="A171" s="27" t="s">
        <v>3674</v>
      </c>
      <c r="B171" s="27" t="s">
        <v>903</v>
      </c>
      <c r="C171" s="27" t="s">
        <v>3489</v>
      </c>
      <c r="D171" s="27" t="s">
        <v>3485</v>
      </c>
      <c r="E171" s="27" t="s">
        <v>3486</v>
      </c>
      <c r="F171" s="27" t="s">
        <v>336</v>
      </c>
      <c r="G171" s="33">
        <v>44752.0</v>
      </c>
      <c r="H171" s="33">
        <v>44768.0</v>
      </c>
      <c r="I171" s="26">
        <v>16.0</v>
      </c>
      <c r="J171" s="27" t="s">
        <v>3497</v>
      </c>
      <c r="K171" s="27"/>
      <c r="L171" s="27" t="s">
        <v>181</v>
      </c>
    </row>
    <row r="172" ht="15.75" customHeight="1">
      <c r="A172" s="25" t="s">
        <v>3675</v>
      </c>
      <c r="B172" s="25" t="s">
        <v>903</v>
      </c>
      <c r="C172" s="25" t="s">
        <v>3517</v>
      </c>
      <c r="D172" s="25" t="s">
        <v>3481</v>
      </c>
      <c r="E172" s="25" t="s">
        <v>3518</v>
      </c>
      <c r="F172" s="25" t="s">
        <v>238</v>
      </c>
      <c r="G172" s="30">
        <v>44648.0</v>
      </c>
      <c r="H172" s="30">
        <v>44677.0</v>
      </c>
      <c r="I172" s="24">
        <v>32.0</v>
      </c>
      <c r="J172" s="25" t="s">
        <v>66</v>
      </c>
      <c r="K172" s="24">
        <v>98.0</v>
      </c>
      <c r="L172" s="25" t="s">
        <v>187</v>
      </c>
    </row>
    <row r="173" ht="15.75" customHeight="1">
      <c r="A173" s="27" t="s">
        <v>3676</v>
      </c>
      <c r="B173" s="27" t="s">
        <v>909</v>
      </c>
      <c r="C173" s="27" t="s">
        <v>3529</v>
      </c>
      <c r="D173" s="27" t="s">
        <v>3481</v>
      </c>
      <c r="E173" s="27" t="s">
        <v>3530</v>
      </c>
      <c r="F173" s="27" t="s">
        <v>333</v>
      </c>
      <c r="G173" s="33">
        <v>45417.0</v>
      </c>
      <c r="H173" s="33">
        <v>45419.0</v>
      </c>
      <c r="I173" s="26">
        <v>40.0</v>
      </c>
      <c r="J173" s="27" t="s">
        <v>3497</v>
      </c>
      <c r="K173" s="27"/>
      <c r="L173" s="27" t="s">
        <v>187</v>
      </c>
    </row>
    <row r="174" ht="15.75" customHeight="1">
      <c r="A174" s="25" t="s">
        <v>3677</v>
      </c>
      <c r="B174" s="25" t="s">
        <v>909</v>
      </c>
      <c r="C174" s="25" t="s">
        <v>3489</v>
      </c>
      <c r="D174" s="25" t="s">
        <v>3485</v>
      </c>
      <c r="E174" s="25" t="s">
        <v>3486</v>
      </c>
      <c r="F174" s="25" t="s">
        <v>336</v>
      </c>
      <c r="G174" s="30">
        <v>45264.0</v>
      </c>
      <c r="H174" s="30">
        <v>45290.0</v>
      </c>
      <c r="I174" s="24">
        <v>16.0</v>
      </c>
      <c r="J174" s="25" t="s">
        <v>66</v>
      </c>
      <c r="K174" s="24">
        <v>60.0</v>
      </c>
      <c r="L174" s="25" t="s">
        <v>181</v>
      </c>
    </row>
    <row r="175" ht="15.75" customHeight="1">
      <c r="A175" s="27" t="s">
        <v>3678</v>
      </c>
      <c r="B175" s="27" t="s">
        <v>909</v>
      </c>
      <c r="C175" s="27" t="s">
        <v>3492</v>
      </c>
      <c r="D175" s="27" t="s">
        <v>3485</v>
      </c>
      <c r="E175" s="27" t="s">
        <v>3486</v>
      </c>
      <c r="F175" s="27" t="s">
        <v>234</v>
      </c>
      <c r="G175" s="33">
        <v>45550.0</v>
      </c>
      <c r="H175" s="33">
        <v>45575.0</v>
      </c>
      <c r="I175" s="26">
        <v>32.0</v>
      </c>
      <c r="J175" s="27" t="s">
        <v>3497</v>
      </c>
      <c r="K175" s="27"/>
      <c r="L175" s="27" t="s">
        <v>181</v>
      </c>
    </row>
    <row r="176" ht="15.75" customHeight="1">
      <c r="A176" s="25" t="s">
        <v>3679</v>
      </c>
      <c r="B176" s="25" t="s">
        <v>915</v>
      </c>
      <c r="C176" s="25" t="s">
        <v>3492</v>
      </c>
      <c r="D176" s="25" t="s">
        <v>3485</v>
      </c>
      <c r="E176" s="25" t="s">
        <v>3486</v>
      </c>
      <c r="F176" s="25" t="s">
        <v>234</v>
      </c>
      <c r="G176" s="30">
        <v>45596.0</v>
      </c>
      <c r="H176" s="30">
        <v>45605.0</v>
      </c>
      <c r="I176" s="24">
        <v>32.0</v>
      </c>
      <c r="J176" s="25" t="s">
        <v>66</v>
      </c>
      <c r="K176" s="24">
        <v>97.0</v>
      </c>
      <c r="L176" s="25" t="s">
        <v>181</v>
      </c>
    </row>
    <row r="177" ht="15.75" customHeight="1">
      <c r="A177" s="27" t="s">
        <v>3680</v>
      </c>
      <c r="B177" s="27" t="s">
        <v>915</v>
      </c>
      <c r="C177" s="27" t="s">
        <v>3513</v>
      </c>
      <c r="D177" s="27" t="s">
        <v>3481</v>
      </c>
      <c r="E177" s="27" t="s">
        <v>3514</v>
      </c>
      <c r="F177" s="27" t="s">
        <v>313</v>
      </c>
      <c r="G177" s="33">
        <v>45452.0</v>
      </c>
      <c r="H177" s="33">
        <v>45477.0</v>
      </c>
      <c r="I177" s="26">
        <v>4.0</v>
      </c>
      <c r="J177" s="27" t="s">
        <v>3487</v>
      </c>
      <c r="K177" s="27"/>
      <c r="L177" s="27" t="s">
        <v>187</v>
      </c>
    </row>
    <row r="178" ht="15.75" customHeight="1">
      <c r="A178" s="25" t="s">
        <v>3681</v>
      </c>
      <c r="B178" s="25" t="s">
        <v>921</v>
      </c>
      <c r="C178" s="25" t="s">
        <v>3538</v>
      </c>
      <c r="D178" s="25" t="s">
        <v>3485</v>
      </c>
      <c r="E178" s="25" t="s">
        <v>3486</v>
      </c>
      <c r="F178" s="25" t="s">
        <v>234</v>
      </c>
      <c r="G178" s="30">
        <v>45144.0</v>
      </c>
      <c r="H178" s="30">
        <v>45155.0</v>
      </c>
      <c r="I178" s="24">
        <v>32.0</v>
      </c>
      <c r="J178" s="25" t="s">
        <v>66</v>
      </c>
      <c r="K178" s="24">
        <v>100.0</v>
      </c>
      <c r="L178" s="25" t="s">
        <v>181</v>
      </c>
    </row>
    <row r="179" ht="15.75" customHeight="1">
      <c r="A179" s="27" t="s">
        <v>3682</v>
      </c>
      <c r="B179" s="27" t="s">
        <v>921</v>
      </c>
      <c r="C179" s="27" t="s">
        <v>3510</v>
      </c>
      <c r="D179" s="27" t="s">
        <v>3485</v>
      </c>
      <c r="E179" s="27" t="s">
        <v>3486</v>
      </c>
      <c r="F179" s="27" t="s">
        <v>329</v>
      </c>
      <c r="G179" s="33">
        <v>45533.0</v>
      </c>
      <c r="H179" s="33">
        <v>45560.0</v>
      </c>
      <c r="I179" s="26">
        <v>24.0</v>
      </c>
      <c r="J179" s="27" t="s">
        <v>3497</v>
      </c>
      <c r="K179" s="27"/>
      <c r="L179" s="27" t="s">
        <v>181</v>
      </c>
    </row>
    <row r="180" ht="15.75" customHeight="1">
      <c r="A180" s="25" t="s">
        <v>3683</v>
      </c>
      <c r="B180" s="25" t="s">
        <v>921</v>
      </c>
      <c r="C180" s="25" t="s">
        <v>3507</v>
      </c>
      <c r="D180" s="25" t="s">
        <v>3481</v>
      </c>
      <c r="E180" s="25" t="s">
        <v>3508</v>
      </c>
      <c r="F180" s="25" t="s">
        <v>288</v>
      </c>
      <c r="G180" s="30">
        <v>45207.0</v>
      </c>
      <c r="H180" s="30">
        <v>45234.0</v>
      </c>
      <c r="I180" s="24">
        <v>24.0</v>
      </c>
      <c r="J180" s="25" t="s">
        <v>66</v>
      </c>
      <c r="K180" s="24">
        <v>76.0</v>
      </c>
      <c r="L180" s="25" t="s">
        <v>187</v>
      </c>
    </row>
    <row r="181" ht="15.75" customHeight="1">
      <c r="A181" s="27" t="s">
        <v>3684</v>
      </c>
      <c r="B181" s="27" t="s">
        <v>921</v>
      </c>
      <c r="C181" s="27" t="s">
        <v>3547</v>
      </c>
      <c r="D181" s="27" t="s">
        <v>3485</v>
      </c>
      <c r="E181" s="27" t="s">
        <v>3486</v>
      </c>
      <c r="F181" s="27" t="s">
        <v>340</v>
      </c>
      <c r="G181" s="33">
        <v>44641.0</v>
      </c>
      <c r="H181" s="33">
        <v>44668.0</v>
      </c>
      <c r="I181" s="26">
        <v>32.0</v>
      </c>
      <c r="J181" s="27" t="s">
        <v>66</v>
      </c>
      <c r="K181" s="26">
        <v>76.0</v>
      </c>
      <c r="L181" s="27" t="s">
        <v>187</v>
      </c>
    </row>
    <row r="182" ht="15.75" customHeight="1">
      <c r="A182" s="25" t="s">
        <v>3685</v>
      </c>
      <c r="B182" s="25" t="s">
        <v>921</v>
      </c>
      <c r="C182" s="25" t="s">
        <v>3496</v>
      </c>
      <c r="D182" s="25" t="s">
        <v>3485</v>
      </c>
      <c r="E182" s="25" t="s">
        <v>3486</v>
      </c>
      <c r="F182" s="25" t="s">
        <v>263</v>
      </c>
      <c r="G182" s="30">
        <v>45105.0</v>
      </c>
      <c r="H182" s="30">
        <v>45106.0</v>
      </c>
      <c r="I182" s="24">
        <v>4.0</v>
      </c>
      <c r="J182" s="25" t="s">
        <v>66</v>
      </c>
      <c r="K182" s="24">
        <v>74.0</v>
      </c>
      <c r="L182" s="25" t="s">
        <v>187</v>
      </c>
    </row>
    <row r="183" ht="15.75" customHeight="1">
      <c r="A183" s="27" t="s">
        <v>3686</v>
      </c>
      <c r="B183" s="27" t="s">
        <v>928</v>
      </c>
      <c r="C183" s="27" t="s">
        <v>3517</v>
      </c>
      <c r="D183" s="27" t="s">
        <v>3481</v>
      </c>
      <c r="E183" s="27" t="s">
        <v>3518</v>
      </c>
      <c r="F183" s="27" t="s">
        <v>238</v>
      </c>
      <c r="G183" s="33">
        <v>45442.0</v>
      </c>
      <c r="H183" s="33">
        <v>45444.0</v>
      </c>
      <c r="I183" s="26">
        <v>16.0</v>
      </c>
      <c r="J183" s="27" t="s">
        <v>3487</v>
      </c>
      <c r="K183" s="27"/>
      <c r="L183" s="27" t="s">
        <v>187</v>
      </c>
    </row>
    <row r="184" ht="15.75" customHeight="1">
      <c r="A184" s="25" t="s">
        <v>3687</v>
      </c>
      <c r="B184" s="25" t="s">
        <v>928</v>
      </c>
      <c r="C184" s="25" t="s">
        <v>3496</v>
      </c>
      <c r="D184" s="25" t="s">
        <v>3485</v>
      </c>
      <c r="E184" s="25" t="s">
        <v>3486</v>
      </c>
      <c r="F184" s="25" t="s">
        <v>263</v>
      </c>
      <c r="G184" s="30">
        <v>44595.0</v>
      </c>
      <c r="H184" s="30">
        <v>44612.0</v>
      </c>
      <c r="I184" s="24">
        <v>40.0</v>
      </c>
      <c r="J184" s="25" t="s">
        <v>3497</v>
      </c>
      <c r="K184" s="25"/>
      <c r="L184" s="25" t="s">
        <v>187</v>
      </c>
    </row>
    <row r="185" ht="15.75" customHeight="1">
      <c r="A185" s="27" t="s">
        <v>3688</v>
      </c>
      <c r="B185" s="27" t="s">
        <v>935</v>
      </c>
      <c r="C185" s="27" t="s">
        <v>3504</v>
      </c>
      <c r="D185" s="27" t="s">
        <v>3481</v>
      </c>
      <c r="E185" s="27" t="s">
        <v>3505</v>
      </c>
      <c r="F185" s="27" t="s">
        <v>229</v>
      </c>
      <c r="G185" s="33">
        <v>45655.0</v>
      </c>
      <c r="H185" s="33">
        <v>45677.0</v>
      </c>
      <c r="I185" s="26">
        <v>4.0</v>
      </c>
      <c r="J185" s="27" t="s">
        <v>66</v>
      </c>
      <c r="K185" s="26">
        <v>75.0</v>
      </c>
      <c r="L185" s="27" t="s">
        <v>187</v>
      </c>
    </row>
    <row r="186" ht="15.75" customHeight="1">
      <c r="A186" s="25" t="s">
        <v>3689</v>
      </c>
      <c r="B186" s="25" t="s">
        <v>935</v>
      </c>
      <c r="C186" s="25" t="s">
        <v>3496</v>
      </c>
      <c r="D186" s="25" t="s">
        <v>3485</v>
      </c>
      <c r="E186" s="25" t="s">
        <v>3486</v>
      </c>
      <c r="F186" s="25" t="s">
        <v>263</v>
      </c>
      <c r="G186" s="30">
        <v>45234.0</v>
      </c>
      <c r="H186" s="30">
        <v>45240.0</v>
      </c>
      <c r="I186" s="24">
        <v>8.0</v>
      </c>
      <c r="J186" s="25" t="s">
        <v>66</v>
      </c>
      <c r="K186" s="24">
        <v>60.0</v>
      </c>
      <c r="L186" s="25" t="s">
        <v>187</v>
      </c>
    </row>
    <row r="187" ht="15.75" customHeight="1">
      <c r="A187" s="27" t="s">
        <v>3690</v>
      </c>
      <c r="B187" s="27" t="s">
        <v>935</v>
      </c>
      <c r="C187" s="27" t="s">
        <v>3547</v>
      </c>
      <c r="D187" s="27" t="s">
        <v>3485</v>
      </c>
      <c r="E187" s="27" t="s">
        <v>3486</v>
      </c>
      <c r="F187" s="27" t="s">
        <v>340</v>
      </c>
      <c r="G187" s="33">
        <v>44725.0</v>
      </c>
      <c r="H187" s="33">
        <v>44736.0</v>
      </c>
      <c r="I187" s="26">
        <v>24.0</v>
      </c>
      <c r="J187" s="27" t="s">
        <v>66</v>
      </c>
      <c r="K187" s="26">
        <v>61.0</v>
      </c>
      <c r="L187" s="27" t="s">
        <v>181</v>
      </c>
    </row>
    <row r="188" ht="15.75" customHeight="1">
      <c r="A188" s="25" t="s">
        <v>3691</v>
      </c>
      <c r="B188" s="25" t="s">
        <v>935</v>
      </c>
      <c r="C188" s="25" t="s">
        <v>3484</v>
      </c>
      <c r="D188" s="25" t="s">
        <v>3485</v>
      </c>
      <c r="E188" s="25" t="s">
        <v>3486</v>
      </c>
      <c r="F188" s="25" t="s">
        <v>284</v>
      </c>
      <c r="G188" s="30">
        <v>44827.0</v>
      </c>
      <c r="H188" s="30">
        <v>44857.0</v>
      </c>
      <c r="I188" s="24">
        <v>16.0</v>
      </c>
      <c r="J188" s="25" t="s">
        <v>3497</v>
      </c>
      <c r="K188" s="25"/>
      <c r="L188" s="25" t="s">
        <v>181</v>
      </c>
    </row>
    <row r="189" ht="15.75" customHeight="1">
      <c r="A189" s="27" t="s">
        <v>3692</v>
      </c>
      <c r="B189" s="27" t="s">
        <v>935</v>
      </c>
      <c r="C189" s="27" t="s">
        <v>3529</v>
      </c>
      <c r="D189" s="27" t="s">
        <v>3481</v>
      </c>
      <c r="E189" s="27" t="s">
        <v>3530</v>
      </c>
      <c r="F189" s="27" t="s">
        <v>333</v>
      </c>
      <c r="G189" s="33">
        <v>45160.0</v>
      </c>
      <c r="H189" s="33">
        <v>45182.0</v>
      </c>
      <c r="I189" s="26">
        <v>8.0</v>
      </c>
      <c r="J189" s="27" t="s">
        <v>66</v>
      </c>
      <c r="K189" s="26">
        <v>87.0</v>
      </c>
      <c r="L189" s="27" t="s">
        <v>181</v>
      </c>
    </row>
    <row r="190" ht="15.75" customHeight="1">
      <c r="A190" s="25" t="s">
        <v>3693</v>
      </c>
      <c r="B190" s="25" t="s">
        <v>944</v>
      </c>
      <c r="C190" s="25" t="s">
        <v>3513</v>
      </c>
      <c r="D190" s="25" t="s">
        <v>3481</v>
      </c>
      <c r="E190" s="25" t="s">
        <v>3514</v>
      </c>
      <c r="F190" s="25" t="s">
        <v>313</v>
      </c>
      <c r="G190" s="30">
        <v>45153.0</v>
      </c>
      <c r="H190" s="30">
        <v>45163.0</v>
      </c>
      <c r="I190" s="24">
        <v>40.0</v>
      </c>
      <c r="J190" s="25" t="s">
        <v>3487</v>
      </c>
      <c r="K190" s="25"/>
      <c r="L190" s="25" t="s">
        <v>181</v>
      </c>
    </row>
    <row r="191" ht="15.75" customHeight="1">
      <c r="A191" s="27" t="s">
        <v>3694</v>
      </c>
      <c r="B191" s="27" t="s">
        <v>944</v>
      </c>
      <c r="C191" s="27" t="s">
        <v>3480</v>
      </c>
      <c r="D191" s="27" t="s">
        <v>3481</v>
      </c>
      <c r="E191" s="27" t="s">
        <v>3482</v>
      </c>
      <c r="F191" s="27" t="s">
        <v>246</v>
      </c>
      <c r="G191" s="33">
        <v>44718.0</v>
      </c>
      <c r="H191" s="33">
        <v>44723.0</v>
      </c>
      <c r="I191" s="26">
        <v>4.0</v>
      </c>
      <c r="J191" s="27" t="s">
        <v>3497</v>
      </c>
      <c r="K191" s="27"/>
      <c r="L191" s="27" t="s">
        <v>181</v>
      </c>
    </row>
    <row r="192" ht="15.75" customHeight="1">
      <c r="A192" s="25" t="s">
        <v>3695</v>
      </c>
      <c r="B192" s="25" t="s">
        <v>950</v>
      </c>
      <c r="C192" s="25" t="s">
        <v>3501</v>
      </c>
      <c r="D192" s="25" t="s">
        <v>3481</v>
      </c>
      <c r="E192" s="25" t="s">
        <v>3502</v>
      </c>
      <c r="F192" s="25" t="s">
        <v>266</v>
      </c>
      <c r="G192" s="30">
        <v>45115.0</v>
      </c>
      <c r="H192" s="30">
        <v>45121.0</v>
      </c>
      <c r="I192" s="24">
        <v>24.0</v>
      </c>
      <c r="J192" s="25" t="s">
        <v>66</v>
      </c>
      <c r="K192" s="24">
        <v>81.0</v>
      </c>
      <c r="L192" s="25" t="s">
        <v>181</v>
      </c>
    </row>
    <row r="193" ht="15.75" customHeight="1">
      <c r="A193" s="27" t="s">
        <v>3696</v>
      </c>
      <c r="B193" s="27" t="s">
        <v>957</v>
      </c>
      <c r="C193" s="27" t="s">
        <v>3501</v>
      </c>
      <c r="D193" s="27" t="s">
        <v>3481</v>
      </c>
      <c r="E193" s="27" t="s">
        <v>3502</v>
      </c>
      <c r="F193" s="27" t="s">
        <v>266</v>
      </c>
      <c r="G193" s="33">
        <v>44812.0</v>
      </c>
      <c r="H193" s="33">
        <v>44828.0</v>
      </c>
      <c r="I193" s="26">
        <v>16.0</v>
      </c>
      <c r="J193" s="27" t="s">
        <v>66</v>
      </c>
      <c r="K193" s="26">
        <v>65.0</v>
      </c>
      <c r="L193" s="27" t="s">
        <v>187</v>
      </c>
    </row>
    <row r="194" ht="15.75" customHeight="1">
      <c r="A194" s="25" t="s">
        <v>3697</v>
      </c>
      <c r="B194" s="25" t="s">
        <v>957</v>
      </c>
      <c r="C194" s="25" t="s">
        <v>3507</v>
      </c>
      <c r="D194" s="25" t="s">
        <v>3481</v>
      </c>
      <c r="E194" s="25" t="s">
        <v>3508</v>
      </c>
      <c r="F194" s="25" t="s">
        <v>288</v>
      </c>
      <c r="G194" s="30">
        <v>44750.0</v>
      </c>
      <c r="H194" s="30">
        <v>44762.0</v>
      </c>
      <c r="I194" s="24">
        <v>8.0</v>
      </c>
      <c r="J194" s="25" t="s">
        <v>66</v>
      </c>
      <c r="K194" s="24">
        <v>94.0</v>
      </c>
      <c r="L194" s="25" t="s">
        <v>187</v>
      </c>
    </row>
    <row r="195" ht="15.75" customHeight="1">
      <c r="A195" s="27" t="s">
        <v>3698</v>
      </c>
      <c r="B195" s="27" t="s">
        <v>957</v>
      </c>
      <c r="C195" s="27" t="s">
        <v>3538</v>
      </c>
      <c r="D195" s="27" t="s">
        <v>3485</v>
      </c>
      <c r="E195" s="27" t="s">
        <v>3486</v>
      </c>
      <c r="F195" s="27" t="s">
        <v>234</v>
      </c>
      <c r="G195" s="33">
        <v>44599.0</v>
      </c>
      <c r="H195" s="33">
        <v>44629.0</v>
      </c>
      <c r="I195" s="26">
        <v>4.0</v>
      </c>
      <c r="J195" s="27" t="s">
        <v>3487</v>
      </c>
      <c r="K195" s="27"/>
      <c r="L195" s="27" t="s">
        <v>181</v>
      </c>
    </row>
    <row r="196" ht="15.75" customHeight="1">
      <c r="A196" s="25" t="s">
        <v>3699</v>
      </c>
      <c r="B196" s="25" t="s">
        <v>957</v>
      </c>
      <c r="C196" s="25" t="s">
        <v>3547</v>
      </c>
      <c r="D196" s="25" t="s">
        <v>3485</v>
      </c>
      <c r="E196" s="25" t="s">
        <v>3486</v>
      </c>
      <c r="F196" s="25" t="s">
        <v>340</v>
      </c>
      <c r="G196" s="30">
        <v>44894.0</v>
      </c>
      <c r="H196" s="30">
        <v>44899.0</v>
      </c>
      <c r="I196" s="24">
        <v>32.0</v>
      </c>
      <c r="J196" s="25" t="s">
        <v>66</v>
      </c>
      <c r="K196" s="24">
        <v>94.0</v>
      </c>
      <c r="L196" s="25" t="s">
        <v>181</v>
      </c>
    </row>
    <row r="197" ht="15.75" customHeight="1">
      <c r="A197" s="27" t="s">
        <v>3700</v>
      </c>
      <c r="B197" s="27" t="s">
        <v>957</v>
      </c>
      <c r="C197" s="27" t="s">
        <v>3489</v>
      </c>
      <c r="D197" s="27" t="s">
        <v>3485</v>
      </c>
      <c r="E197" s="27" t="s">
        <v>3486</v>
      </c>
      <c r="F197" s="27" t="s">
        <v>336</v>
      </c>
      <c r="G197" s="33">
        <v>45542.0</v>
      </c>
      <c r="H197" s="33">
        <v>45572.0</v>
      </c>
      <c r="I197" s="26">
        <v>16.0</v>
      </c>
      <c r="J197" s="27" t="s">
        <v>3497</v>
      </c>
      <c r="K197" s="27"/>
      <c r="L197" s="27" t="s">
        <v>181</v>
      </c>
    </row>
    <row r="198" ht="15.75" customHeight="1">
      <c r="A198" s="25" t="s">
        <v>3701</v>
      </c>
      <c r="B198" s="25" t="s">
        <v>963</v>
      </c>
      <c r="C198" s="25" t="s">
        <v>3507</v>
      </c>
      <c r="D198" s="25" t="s">
        <v>3481</v>
      </c>
      <c r="E198" s="25" t="s">
        <v>3508</v>
      </c>
      <c r="F198" s="25" t="s">
        <v>288</v>
      </c>
      <c r="G198" s="30">
        <v>44774.0</v>
      </c>
      <c r="H198" s="30">
        <v>44800.0</v>
      </c>
      <c r="I198" s="24">
        <v>24.0</v>
      </c>
      <c r="J198" s="25" t="s">
        <v>66</v>
      </c>
      <c r="K198" s="24">
        <v>73.0</v>
      </c>
      <c r="L198" s="25" t="s">
        <v>181</v>
      </c>
    </row>
    <row r="199" ht="15.75" customHeight="1">
      <c r="A199" s="27" t="s">
        <v>3702</v>
      </c>
      <c r="B199" s="27" t="s">
        <v>963</v>
      </c>
      <c r="C199" s="27" t="s">
        <v>3517</v>
      </c>
      <c r="D199" s="27" t="s">
        <v>3481</v>
      </c>
      <c r="E199" s="27" t="s">
        <v>3518</v>
      </c>
      <c r="F199" s="27" t="s">
        <v>238</v>
      </c>
      <c r="G199" s="33">
        <v>44951.0</v>
      </c>
      <c r="H199" s="33">
        <v>44971.0</v>
      </c>
      <c r="I199" s="26">
        <v>32.0</v>
      </c>
      <c r="J199" s="27" t="s">
        <v>66</v>
      </c>
      <c r="K199" s="26">
        <v>64.0</v>
      </c>
      <c r="L199" s="27" t="s">
        <v>181</v>
      </c>
    </row>
    <row r="200" ht="15.75" customHeight="1">
      <c r="A200" s="25" t="s">
        <v>3703</v>
      </c>
      <c r="B200" s="25" t="s">
        <v>963</v>
      </c>
      <c r="C200" s="25" t="s">
        <v>3501</v>
      </c>
      <c r="D200" s="25" t="s">
        <v>3481</v>
      </c>
      <c r="E200" s="25" t="s">
        <v>3502</v>
      </c>
      <c r="F200" s="25" t="s">
        <v>266</v>
      </c>
      <c r="G200" s="30">
        <v>45574.0</v>
      </c>
      <c r="H200" s="30">
        <v>45592.0</v>
      </c>
      <c r="I200" s="24">
        <v>24.0</v>
      </c>
      <c r="J200" s="25" t="s">
        <v>3497</v>
      </c>
      <c r="K200" s="25"/>
      <c r="L200" s="25" t="s">
        <v>187</v>
      </c>
    </row>
    <row r="201" ht="15.75" customHeight="1">
      <c r="A201" s="27" t="s">
        <v>3704</v>
      </c>
      <c r="B201" s="27" t="s">
        <v>969</v>
      </c>
      <c r="C201" s="27" t="s">
        <v>3529</v>
      </c>
      <c r="D201" s="27" t="s">
        <v>3481</v>
      </c>
      <c r="E201" s="27" t="s">
        <v>3530</v>
      </c>
      <c r="F201" s="27" t="s">
        <v>333</v>
      </c>
      <c r="G201" s="33">
        <v>45489.0</v>
      </c>
      <c r="H201" s="33">
        <v>45496.0</v>
      </c>
      <c r="I201" s="26">
        <v>16.0</v>
      </c>
      <c r="J201" s="27" t="s">
        <v>66</v>
      </c>
      <c r="K201" s="26">
        <v>61.0</v>
      </c>
      <c r="L201" s="27" t="s">
        <v>187</v>
      </c>
    </row>
    <row r="202" ht="15.75" customHeight="1">
      <c r="A202" s="25" t="s">
        <v>3705</v>
      </c>
      <c r="B202" s="25" t="s">
        <v>969</v>
      </c>
      <c r="C202" s="25" t="s">
        <v>3496</v>
      </c>
      <c r="D202" s="25" t="s">
        <v>3485</v>
      </c>
      <c r="E202" s="25" t="s">
        <v>3486</v>
      </c>
      <c r="F202" s="25" t="s">
        <v>263</v>
      </c>
      <c r="G202" s="30">
        <v>45255.0</v>
      </c>
      <c r="H202" s="30">
        <v>45269.0</v>
      </c>
      <c r="I202" s="24">
        <v>4.0</v>
      </c>
      <c r="J202" s="25" t="s">
        <v>3497</v>
      </c>
      <c r="K202" s="25"/>
      <c r="L202" s="25" t="s">
        <v>187</v>
      </c>
    </row>
    <row r="203" ht="15.75" customHeight="1">
      <c r="A203" s="27" t="s">
        <v>3706</v>
      </c>
      <c r="B203" s="27" t="s">
        <v>969</v>
      </c>
      <c r="C203" s="27" t="s">
        <v>3501</v>
      </c>
      <c r="D203" s="27" t="s">
        <v>3481</v>
      </c>
      <c r="E203" s="27" t="s">
        <v>3502</v>
      </c>
      <c r="F203" s="27" t="s">
        <v>266</v>
      </c>
      <c r="G203" s="33">
        <v>45511.0</v>
      </c>
      <c r="H203" s="33">
        <v>45514.0</v>
      </c>
      <c r="I203" s="26">
        <v>4.0</v>
      </c>
      <c r="J203" s="27" t="s">
        <v>66</v>
      </c>
      <c r="K203" s="26">
        <v>98.0</v>
      </c>
      <c r="L203" s="27" t="s">
        <v>181</v>
      </c>
    </row>
    <row r="204" ht="15.75" customHeight="1">
      <c r="A204" s="25" t="s">
        <v>3707</v>
      </c>
      <c r="B204" s="25" t="s">
        <v>976</v>
      </c>
      <c r="C204" s="25" t="s">
        <v>3492</v>
      </c>
      <c r="D204" s="25" t="s">
        <v>3485</v>
      </c>
      <c r="E204" s="25" t="s">
        <v>3486</v>
      </c>
      <c r="F204" s="25" t="s">
        <v>234</v>
      </c>
      <c r="G204" s="30">
        <v>45259.0</v>
      </c>
      <c r="H204" s="30">
        <v>45263.0</v>
      </c>
      <c r="I204" s="24">
        <v>4.0</v>
      </c>
      <c r="J204" s="25" t="s">
        <v>66</v>
      </c>
      <c r="K204" s="24">
        <v>100.0</v>
      </c>
      <c r="L204" s="25" t="s">
        <v>187</v>
      </c>
    </row>
    <row r="205" ht="15.75" customHeight="1">
      <c r="A205" s="27" t="s">
        <v>3708</v>
      </c>
      <c r="B205" s="27" t="s">
        <v>976</v>
      </c>
      <c r="C205" s="27" t="s">
        <v>3547</v>
      </c>
      <c r="D205" s="27" t="s">
        <v>3485</v>
      </c>
      <c r="E205" s="27" t="s">
        <v>3486</v>
      </c>
      <c r="F205" s="27" t="s">
        <v>340</v>
      </c>
      <c r="G205" s="33">
        <v>45065.0</v>
      </c>
      <c r="H205" s="33">
        <v>45075.0</v>
      </c>
      <c r="I205" s="26">
        <v>24.0</v>
      </c>
      <c r="J205" s="27" t="s">
        <v>66</v>
      </c>
      <c r="K205" s="26">
        <v>78.0</v>
      </c>
      <c r="L205" s="27" t="s">
        <v>181</v>
      </c>
    </row>
    <row r="206" ht="15.75" customHeight="1">
      <c r="A206" s="25" t="s">
        <v>3709</v>
      </c>
      <c r="B206" s="25" t="s">
        <v>976</v>
      </c>
      <c r="C206" s="25" t="s">
        <v>3501</v>
      </c>
      <c r="D206" s="25" t="s">
        <v>3481</v>
      </c>
      <c r="E206" s="25" t="s">
        <v>3502</v>
      </c>
      <c r="F206" s="25" t="s">
        <v>266</v>
      </c>
      <c r="G206" s="30">
        <v>44780.0</v>
      </c>
      <c r="H206" s="30">
        <v>44782.0</v>
      </c>
      <c r="I206" s="24">
        <v>40.0</v>
      </c>
      <c r="J206" s="25" t="s">
        <v>3487</v>
      </c>
      <c r="K206" s="25"/>
      <c r="L206" s="25" t="s">
        <v>181</v>
      </c>
    </row>
    <row r="207" ht="15.75" customHeight="1">
      <c r="A207" s="27" t="s">
        <v>3710</v>
      </c>
      <c r="B207" s="27" t="s">
        <v>976</v>
      </c>
      <c r="C207" s="27" t="s">
        <v>3538</v>
      </c>
      <c r="D207" s="27" t="s">
        <v>3485</v>
      </c>
      <c r="E207" s="27" t="s">
        <v>3486</v>
      </c>
      <c r="F207" s="27" t="s">
        <v>234</v>
      </c>
      <c r="G207" s="33">
        <v>45090.0</v>
      </c>
      <c r="H207" s="33">
        <v>45117.0</v>
      </c>
      <c r="I207" s="26">
        <v>8.0</v>
      </c>
      <c r="J207" s="27" t="s">
        <v>66</v>
      </c>
      <c r="K207" s="26">
        <v>77.0</v>
      </c>
      <c r="L207" s="27" t="s">
        <v>187</v>
      </c>
    </row>
    <row r="208" ht="15.75" customHeight="1">
      <c r="A208" s="25" t="s">
        <v>3711</v>
      </c>
      <c r="B208" s="25" t="s">
        <v>976</v>
      </c>
      <c r="C208" s="25" t="s">
        <v>3504</v>
      </c>
      <c r="D208" s="25" t="s">
        <v>3481</v>
      </c>
      <c r="E208" s="25" t="s">
        <v>3505</v>
      </c>
      <c r="F208" s="25" t="s">
        <v>229</v>
      </c>
      <c r="G208" s="30">
        <v>45405.0</v>
      </c>
      <c r="H208" s="30">
        <v>45408.0</v>
      </c>
      <c r="I208" s="24">
        <v>16.0</v>
      </c>
      <c r="J208" s="25" t="s">
        <v>3487</v>
      </c>
      <c r="K208" s="25"/>
      <c r="L208" s="25" t="s">
        <v>181</v>
      </c>
    </row>
    <row r="209" ht="15.75" customHeight="1">
      <c r="A209" s="27" t="s">
        <v>3712</v>
      </c>
      <c r="B209" s="27" t="s">
        <v>983</v>
      </c>
      <c r="C209" s="27" t="s">
        <v>3510</v>
      </c>
      <c r="D209" s="27" t="s">
        <v>3485</v>
      </c>
      <c r="E209" s="27" t="s">
        <v>3486</v>
      </c>
      <c r="F209" s="27" t="s">
        <v>329</v>
      </c>
      <c r="G209" s="33">
        <v>44608.0</v>
      </c>
      <c r="H209" s="33">
        <v>44609.0</v>
      </c>
      <c r="I209" s="26">
        <v>16.0</v>
      </c>
      <c r="J209" s="27" t="s">
        <v>3487</v>
      </c>
      <c r="K209" s="27"/>
      <c r="L209" s="27" t="s">
        <v>181</v>
      </c>
    </row>
    <row r="210" ht="15.75" customHeight="1">
      <c r="A210" s="25" t="s">
        <v>3713</v>
      </c>
      <c r="B210" s="25" t="s">
        <v>983</v>
      </c>
      <c r="C210" s="25" t="s">
        <v>3489</v>
      </c>
      <c r="D210" s="25" t="s">
        <v>3485</v>
      </c>
      <c r="E210" s="25" t="s">
        <v>3486</v>
      </c>
      <c r="F210" s="25" t="s">
        <v>336</v>
      </c>
      <c r="G210" s="30">
        <v>44752.0</v>
      </c>
      <c r="H210" s="30">
        <v>44780.0</v>
      </c>
      <c r="I210" s="24">
        <v>32.0</v>
      </c>
      <c r="J210" s="25" t="s">
        <v>66</v>
      </c>
      <c r="K210" s="24">
        <v>98.0</v>
      </c>
      <c r="L210" s="25" t="s">
        <v>181</v>
      </c>
    </row>
    <row r="211" ht="15.75" customHeight="1">
      <c r="A211" s="27" t="s">
        <v>3714</v>
      </c>
      <c r="B211" s="27" t="s">
        <v>983</v>
      </c>
      <c r="C211" s="27" t="s">
        <v>3507</v>
      </c>
      <c r="D211" s="27" t="s">
        <v>3481</v>
      </c>
      <c r="E211" s="27" t="s">
        <v>3508</v>
      </c>
      <c r="F211" s="27" t="s">
        <v>288</v>
      </c>
      <c r="G211" s="33">
        <v>45304.0</v>
      </c>
      <c r="H211" s="33">
        <v>45308.0</v>
      </c>
      <c r="I211" s="26">
        <v>16.0</v>
      </c>
      <c r="J211" s="27" t="s">
        <v>66</v>
      </c>
      <c r="K211" s="26">
        <v>81.0</v>
      </c>
      <c r="L211" s="27" t="s">
        <v>187</v>
      </c>
    </row>
    <row r="212" ht="15.75" customHeight="1">
      <c r="A212" s="25" t="s">
        <v>3715</v>
      </c>
      <c r="B212" s="25" t="s">
        <v>983</v>
      </c>
      <c r="C212" s="25" t="s">
        <v>3517</v>
      </c>
      <c r="D212" s="25" t="s">
        <v>3481</v>
      </c>
      <c r="E212" s="25" t="s">
        <v>3518</v>
      </c>
      <c r="F212" s="25" t="s">
        <v>238</v>
      </c>
      <c r="G212" s="30">
        <v>44815.0</v>
      </c>
      <c r="H212" s="30">
        <v>44821.0</v>
      </c>
      <c r="I212" s="24">
        <v>32.0</v>
      </c>
      <c r="J212" s="25" t="s">
        <v>66</v>
      </c>
      <c r="K212" s="24">
        <v>65.0</v>
      </c>
      <c r="L212" s="25" t="s">
        <v>181</v>
      </c>
    </row>
    <row r="213" ht="15.75" customHeight="1">
      <c r="A213" s="27" t="s">
        <v>3716</v>
      </c>
      <c r="B213" s="27" t="s">
        <v>991</v>
      </c>
      <c r="C213" s="27" t="s">
        <v>3510</v>
      </c>
      <c r="D213" s="27" t="s">
        <v>3485</v>
      </c>
      <c r="E213" s="27" t="s">
        <v>3486</v>
      </c>
      <c r="F213" s="27" t="s">
        <v>329</v>
      </c>
      <c r="G213" s="33">
        <v>45199.0</v>
      </c>
      <c r="H213" s="33">
        <v>45226.0</v>
      </c>
      <c r="I213" s="26">
        <v>32.0</v>
      </c>
      <c r="J213" s="27" t="s">
        <v>3497</v>
      </c>
      <c r="K213" s="27"/>
      <c r="L213" s="27" t="s">
        <v>181</v>
      </c>
    </row>
    <row r="214" ht="15.75" customHeight="1">
      <c r="A214" s="25" t="s">
        <v>3717</v>
      </c>
      <c r="B214" s="25" t="s">
        <v>998</v>
      </c>
      <c r="C214" s="25" t="s">
        <v>3484</v>
      </c>
      <c r="D214" s="25" t="s">
        <v>3485</v>
      </c>
      <c r="E214" s="25" t="s">
        <v>3486</v>
      </c>
      <c r="F214" s="25" t="s">
        <v>284</v>
      </c>
      <c r="G214" s="30">
        <v>45171.0</v>
      </c>
      <c r="H214" s="30">
        <v>45175.0</v>
      </c>
      <c r="I214" s="24">
        <v>4.0</v>
      </c>
      <c r="J214" s="25" t="s">
        <v>3497</v>
      </c>
      <c r="K214" s="25"/>
      <c r="L214" s="25" t="s">
        <v>187</v>
      </c>
    </row>
    <row r="215" ht="15.75" customHeight="1">
      <c r="A215" s="27" t="s">
        <v>3718</v>
      </c>
      <c r="B215" s="27" t="s">
        <v>998</v>
      </c>
      <c r="C215" s="27" t="s">
        <v>3489</v>
      </c>
      <c r="D215" s="27" t="s">
        <v>3485</v>
      </c>
      <c r="E215" s="27" t="s">
        <v>3486</v>
      </c>
      <c r="F215" s="27" t="s">
        <v>336</v>
      </c>
      <c r="G215" s="33">
        <v>45422.0</v>
      </c>
      <c r="H215" s="33">
        <v>45425.0</v>
      </c>
      <c r="I215" s="26">
        <v>16.0</v>
      </c>
      <c r="J215" s="27" t="s">
        <v>66</v>
      </c>
      <c r="K215" s="26">
        <v>63.0</v>
      </c>
      <c r="L215" s="27" t="s">
        <v>181</v>
      </c>
    </row>
    <row r="216" ht="15.75" customHeight="1">
      <c r="A216" s="25" t="s">
        <v>3719</v>
      </c>
      <c r="B216" s="25" t="s">
        <v>998</v>
      </c>
      <c r="C216" s="25" t="s">
        <v>3538</v>
      </c>
      <c r="D216" s="25" t="s">
        <v>3485</v>
      </c>
      <c r="E216" s="25" t="s">
        <v>3486</v>
      </c>
      <c r="F216" s="25" t="s">
        <v>234</v>
      </c>
      <c r="G216" s="30">
        <v>44702.0</v>
      </c>
      <c r="H216" s="30">
        <v>44706.0</v>
      </c>
      <c r="I216" s="24">
        <v>32.0</v>
      </c>
      <c r="J216" s="25" t="s">
        <v>3487</v>
      </c>
      <c r="K216" s="25"/>
      <c r="L216" s="25" t="s">
        <v>181</v>
      </c>
    </row>
    <row r="217" ht="15.75" customHeight="1">
      <c r="A217" s="27" t="s">
        <v>3720</v>
      </c>
      <c r="B217" s="27" t="s">
        <v>998</v>
      </c>
      <c r="C217" s="27" t="s">
        <v>3510</v>
      </c>
      <c r="D217" s="27" t="s">
        <v>3485</v>
      </c>
      <c r="E217" s="27" t="s">
        <v>3486</v>
      </c>
      <c r="F217" s="27" t="s">
        <v>329</v>
      </c>
      <c r="G217" s="33">
        <v>44780.0</v>
      </c>
      <c r="H217" s="33">
        <v>44809.0</v>
      </c>
      <c r="I217" s="26">
        <v>24.0</v>
      </c>
      <c r="J217" s="27" t="s">
        <v>66</v>
      </c>
      <c r="K217" s="26">
        <v>83.0</v>
      </c>
      <c r="L217" s="27" t="s">
        <v>187</v>
      </c>
    </row>
    <row r="218" ht="15.75" customHeight="1">
      <c r="A218" s="25" t="s">
        <v>3721</v>
      </c>
      <c r="B218" s="25" t="s">
        <v>998</v>
      </c>
      <c r="C218" s="25" t="s">
        <v>3501</v>
      </c>
      <c r="D218" s="25" t="s">
        <v>3481</v>
      </c>
      <c r="E218" s="25" t="s">
        <v>3502</v>
      </c>
      <c r="F218" s="25" t="s">
        <v>266</v>
      </c>
      <c r="G218" s="30">
        <v>44780.0</v>
      </c>
      <c r="H218" s="30">
        <v>44789.0</v>
      </c>
      <c r="I218" s="24">
        <v>32.0</v>
      </c>
      <c r="J218" s="25" t="s">
        <v>66</v>
      </c>
      <c r="K218" s="24">
        <v>75.0</v>
      </c>
      <c r="L218" s="25" t="s">
        <v>181</v>
      </c>
    </row>
    <row r="219" ht="15.75" customHeight="1">
      <c r="A219" s="27" t="s">
        <v>3722</v>
      </c>
      <c r="B219" s="27" t="s">
        <v>1004</v>
      </c>
      <c r="C219" s="27" t="s">
        <v>3492</v>
      </c>
      <c r="D219" s="27" t="s">
        <v>3485</v>
      </c>
      <c r="E219" s="27" t="s">
        <v>3486</v>
      </c>
      <c r="F219" s="27" t="s">
        <v>234</v>
      </c>
      <c r="G219" s="33">
        <v>44774.0</v>
      </c>
      <c r="H219" s="33">
        <v>44795.0</v>
      </c>
      <c r="I219" s="26">
        <v>24.0</v>
      </c>
      <c r="J219" s="27" t="s">
        <v>3497</v>
      </c>
      <c r="K219" s="27"/>
      <c r="L219" s="27" t="s">
        <v>181</v>
      </c>
    </row>
    <row r="220" ht="15.75" customHeight="1">
      <c r="A220" s="25" t="s">
        <v>3723</v>
      </c>
      <c r="B220" s="25" t="s">
        <v>1004</v>
      </c>
      <c r="C220" s="25" t="s">
        <v>3507</v>
      </c>
      <c r="D220" s="25" t="s">
        <v>3481</v>
      </c>
      <c r="E220" s="25" t="s">
        <v>3508</v>
      </c>
      <c r="F220" s="25" t="s">
        <v>288</v>
      </c>
      <c r="G220" s="30">
        <v>44821.0</v>
      </c>
      <c r="H220" s="30">
        <v>44827.0</v>
      </c>
      <c r="I220" s="24">
        <v>40.0</v>
      </c>
      <c r="J220" s="25" t="s">
        <v>3497</v>
      </c>
      <c r="K220" s="25"/>
      <c r="L220" s="25" t="s">
        <v>181</v>
      </c>
    </row>
    <row r="221" ht="15.75" customHeight="1">
      <c r="A221" s="27" t="s">
        <v>3724</v>
      </c>
      <c r="B221" s="27" t="s">
        <v>1004</v>
      </c>
      <c r="C221" s="27" t="s">
        <v>3504</v>
      </c>
      <c r="D221" s="27" t="s">
        <v>3481</v>
      </c>
      <c r="E221" s="27" t="s">
        <v>3505</v>
      </c>
      <c r="F221" s="27" t="s">
        <v>229</v>
      </c>
      <c r="G221" s="33">
        <v>45397.0</v>
      </c>
      <c r="H221" s="33">
        <v>45398.0</v>
      </c>
      <c r="I221" s="26">
        <v>16.0</v>
      </c>
      <c r="J221" s="27" t="s">
        <v>66</v>
      </c>
      <c r="K221" s="26">
        <v>96.0</v>
      </c>
      <c r="L221" s="27" t="s">
        <v>181</v>
      </c>
    </row>
    <row r="222" ht="15.75" customHeight="1">
      <c r="A222" s="25" t="s">
        <v>3725</v>
      </c>
      <c r="B222" s="25" t="s">
        <v>1011</v>
      </c>
      <c r="C222" s="25" t="s">
        <v>3538</v>
      </c>
      <c r="D222" s="25" t="s">
        <v>3485</v>
      </c>
      <c r="E222" s="25" t="s">
        <v>3486</v>
      </c>
      <c r="F222" s="25" t="s">
        <v>234</v>
      </c>
      <c r="G222" s="30">
        <v>44994.0</v>
      </c>
      <c r="H222" s="30">
        <v>45014.0</v>
      </c>
      <c r="I222" s="24">
        <v>8.0</v>
      </c>
      <c r="J222" s="25" t="s">
        <v>66</v>
      </c>
      <c r="K222" s="24">
        <v>93.0</v>
      </c>
      <c r="L222" s="25" t="s">
        <v>187</v>
      </c>
    </row>
    <row r="223" ht="15.75" customHeight="1">
      <c r="A223" s="27" t="s">
        <v>3726</v>
      </c>
      <c r="B223" s="27" t="s">
        <v>1011</v>
      </c>
      <c r="C223" s="27" t="s">
        <v>3529</v>
      </c>
      <c r="D223" s="27" t="s">
        <v>3481</v>
      </c>
      <c r="E223" s="27" t="s">
        <v>3530</v>
      </c>
      <c r="F223" s="27" t="s">
        <v>333</v>
      </c>
      <c r="G223" s="33">
        <v>45267.0</v>
      </c>
      <c r="H223" s="33">
        <v>45272.0</v>
      </c>
      <c r="I223" s="26">
        <v>32.0</v>
      </c>
      <c r="J223" s="27" t="s">
        <v>66</v>
      </c>
      <c r="K223" s="26">
        <v>86.0</v>
      </c>
      <c r="L223" s="27" t="s">
        <v>187</v>
      </c>
    </row>
    <row r="224" ht="15.75" customHeight="1">
      <c r="A224" s="25" t="s">
        <v>3727</v>
      </c>
      <c r="B224" s="25" t="s">
        <v>1011</v>
      </c>
      <c r="C224" s="25" t="s">
        <v>3496</v>
      </c>
      <c r="D224" s="25" t="s">
        <v>3485</v>
      </c>
      <c r="E224" s="25" t="s">
        <v>3486</v>
      </c>
      <c r="F224" s="25" t="s">
        <v>263</v>
      </c>
      <c r="G224" s="30">
        <v>45113.0</v>
      </c>
      <c r="H224" s="30">
        <v>45121.0</v>
      </c>
      <c r="I224" s="24">
        <v>4.0</v>
      </c>
      <c r="J224" s="25" t="s">
        <v>66</v>
      </c>
      <c r="K224" s="24">
        <v>86.0</v>
      </c>
      <c r="L224" s="25" t="s">
        <v>187</v>
      </c>
    </row>
    <row r="225" ht="15.75" customHeight="1">
      <c r="A225" s="27" t="s">
        <v>3728</v>
      </c>
      <c r="B225" s="27" t="s">
        <v>1011</v>
      </c>
      <c r="C225" s="27" t="s">
        <v>3517</v>
      </c>
      <c r="D225" s="27" t="s">
        <v>3481</v>
      </c>
      <c r="E225" s="27" t="s">
        <v>3518</v>
      </c>
      <c r="F225" s="27" t="s">
        <v>238</v>
      </c>
      <c r="G225" s="33">
        <v>45581.0</v>
      </c>
      <c r="H225" s="33">
        <v>45582.0</v>
      </c>
      <c r="I225" s="26">
        <v>24.0</v>
      </c>
      <c r="J225" s="27" t="s">
        <v>3487</v>
      </c>
      <c r="K225" s="27"/>
      <c r="L225" s="27" t="s">
        <v>181</v>
      </c>
    </row>
    <row r="226" ht="15.75" customHeight="1">
      <c r="A226" s="25" t="s">
        <v>3729</v>
      </c>
      <c r="B226" s="25" t="s">
        <v>1018</v>
      </c>
      <c r="C226" s="25" t="s">
        <v>3489</v>
      </c>
      <c r="D226" s="25" t="s">
        <v>3485</v>
      </c>
      <c r="E226" s="25" t="s">
        <v>3486</v>
      </c>
      <c r="F226" s="25" t="s">
        <v>336</v>
      </c>
      <c r="G226" s="30">
        <v>44939.0</v>
      </c>
      <c r="H226" s="30">
        <v>44966.0</v>
      </c>
      <c r="I226" s="24">
        <v>4.0</v>
      </c>
      <c r="J226" s="25" t="s">
        <v>66</v>
      </c>
      <c r="K226" s="24">
        <v>75.0</v>
      </c>
      <c r="L226" s="25" t="s">
        <v>181</v>
      </c>
    </row>
    <row r="227" ht="15.75" customHeight="1">
      <c r="A227" s="27" t="s">
        <v>3730</v>
      </c>
      <c r="B227" s="27" t="s">
        <v>1018</v>
      </c>
      <c r="C227" s="27" t="s">
        <v>3492</v>
      </c>
      <c r="D227" s="27" t="s">
        <v>3485</v>
      </c>
      <c r="E227" s="27" t="s">
        <v>3486</v>
      </c>
      <c r="F227" s="27" t="s">
        <v>234</v>
      </c>
      <c r="G227" s="33">
        <v>44644.0</v>
      </c>
      <c r="H227" s="33">
        <v>44652.0</v>
      </c>
      <c r="I227" s="26">
        <v>40.0</v>
      </c>
      <c r="J227" s="27" t="s">
        <v>3487</v>
      </c>
      <c r="K227" s="27"/>
      <c r="L227" s="27" t="s">
        <v>181</v>
      </c>
    </row>
    <row r="228" ht="15.75" customHeight="1">
      <c r="A228" s="25" t="s">
        <v>3731</v>
      </c>
      <c r="B228" s="25" t="s">
        <v>1018</v>
      </c>
      <c r="C228" s="25" t="s">
        <v>3484</v>
      </c>
      <c r="D228" s="25" t="s">
        <v>3485</v>
      </c>
      <c r="E228" s="25" t="s">
        <v>3486</v>
      </c>
      <c r="F228" s="25" t="s">
        <v>284</v>
      </c>
      <c r="G228" s="30">
        <v>44709.0</v>
      </c>
      <c r="H228" s="30">
        <v>44731.0</v>
      </c>
      <c r="I228" s="24">
        <v>8.0</v>
      </c>
      <c r="J228" s="25" t="s">
        <v>66</v>
      </c>
      <c r="K228" s="24">
        <v>77.0</v>
      </c>
      <c r="L228" s="25" t="s">
        <v>181</v>
      </c>
    </row>
    <row r="229" ht="15.75" customHeight="1">
      <c r="A229" s="27" t="s">
        <v>3732</v>
      </c>
      <c r="B229" s="27" t="s">
        <v>1024</v>
      </c>
      <c r="C229" s="27" t="s">
        <v>3496</v>
      </c>
      <c r="D229" s="27" t="s">
        <v>3485</v>
      </c>
      <c r="E229" s="27" t="s">
        <v>3486</v>
      </c>
      <c r="F229" s="27" t="s">
        <v>263</v>
      </c>
      <c r="G229" s="33">
        <v>45408.0</v>
      </c>
      <c r="H229" s="33">
        <v>45412.0</v>
      </c>
      <c r="I229" s="26">
        <v>24.0</v>
      </c>
      <c r="J229" s="27" t="s">
        <v>66</v>
      </c>
      <c r="K229" s="26">
        <v>69.0</v>
      </c>
      <c r="L229" s="27" t="s">
        <v>181</v>
      </c>
    </row>
    <row r="230" ht="15.75" customHeight="1">
      <c r="A230" s="25" t="s">
        <v>3733</v>
      </c>
      <c r="B230" s="25" t="s">
        <v>1024</v>
      </c>
      <c r="C230" s="25" t="s">
        <v>3504</v>
      </c>
      <c r="D230" s="25" t="s">
        <v>3481</v>
      </c>
      <c r="E230" s="25" t="s">
        <v>3505</v>
      </c>
      <c r="F230" s="25" t="s">
        <v>229</v>
      </c>
      <c r="G230" s="30">
        <v>44814.0</v>
      </c>
      <c r="H230" s="30">
        <v>44842.0</v>
      </c>
      <c r="I230" s="24">
        <v>24.0</v>
      </c>
      <c r="J230" s="25" t="s">
        <v>66</v>
      </c>
      <c r="K230" s="24">
        <v>84.0</v>
      </c>
      <c r="L230" s="25" t="s">
        <v>187</v>
      </c>
    </row>
    <row r="231" ht="15.75" customHeight="1">
      <c r="A231" s="27" t="s">
        <v>3734</v>
      </c>
      <c r="B231" s="27" t="s">
        <v>1024</v>
      </c>
      <c r="C231" s="27" t="s">
        <v>3529</v>
      </c>
      <c r="D231" s="27" t="s">
        <v>3481</v>
      </c>
      <c r="E231" s="27" t="s">
        <v>3530</v>
      </c>
      <c r="F231" s="27" t="s">
        <v>333</v>
      </c>
      <c r="G231" s="33">
        <v>45470.0</v>
      </c>
      <c r="H231" s="33">
        <v>45492.0</v>
      </c>
      <c r="I231" s="26">
        <v>40.0</v>
      </c>
      <c r="J231" s="27" t="s">
        <v>66</v>
      </c>
      <c r="K231" s="26">
        <v>69.0</v>
      </c>
      <c r="L231" s="27" t="s">
        <v>181</v>
      </c>
    </row>
    <row r="232" ht="15.75" customHeight="1">
      <c r="A232" s="25" t="s">
        <v>3735</v>
      </c>
      <c r="B232" s="25" t="s">
        <v>1024</v>
      </c>
      <c r="C232" s="25" t="s">
        <v>3480</v>
      </c>
      <c r="D232" s="25" t="s">
        <v>3481</v>
      </c>
      <c r="E232" s="25" t="s">
        <v>3482</v>
      </c>
      <c r="F232" s="25" t="s">
        <v>246</v>
      </c>
      <c r="G232" s="30">
        <v>45359.0</v>
      </c>
      <c r="H232" s="30">
        <v>45371.0</v>
      </c>
      <c r="I232" s="24">
        <v>40.0</v>
      </c>
      <c r="J232" s="25" t="s">
        <v>66</v>
      </c>
      <c r="K232" s="24">
        <v>75.0</v>
      </c>
      <c r="L232" s="25" t="s">
        <v>187</v>
      </c>
    </row>
    <row r="233" ht="15.75" customHeight="1">
      <c r="A233" s="27" t="s">
        <v>3736</v>
      </c>
      <c r="B233" s="27" t="s">
        <v>1024</v>
      </c>
      <c r="C233" s="27" t="s">
        <v>3507</v>
      </c>
      <c r="D233" s="27" t="s">
        <v>3481</v>
      </c>
      <c r="E233" s="27" t="s">
        <v>3508</v>
      </c>
      <c r="F233" s="27" t="s">
        <v>288</v>
      </c>
      <c r="G233" s="33">
        <v>45563.0</v>
      </c>
      <c r="H233" s="33">
        <v>45572.0</v>
      </c>
      <c r="I233" s="26">
        <v>16.0</v>
      </c>
      <c r="J233" s="27" t="s">
        <v>66</v>
      </c>
      <c r="K233" s="26">
        <v>60.0</v>
      </c>
      <c r="L233" s="27" t="s">
        <v>187</v>
      </c>
    </row>
    <row r="234" ht="15.75" customHeight="1">
      <c r="A234" s="25" t="s">
        <v>3737</v>
      </c>
      <c r="B234" s="25" t="s">
        <v>1030</v>
      </c>
      <c r="C234" s="25" t="s">
        <v>3492</v>
      </c>
      <c r="D234" s="25" t="s">
        <v>3485</v>
      </c>
      <c r="E234" s="25" t="s">
        <v>3486</v>
      </c>
      <c r="F234" s="25" t="s">
        <v>234</v>
      </c>
      <c r="G234" s="30">
        <v>45635.0</v>
      </c>
      <c r="H234" s="30">
        <v>45645.0</v>
      </c>
      <c r="I234" s="24">
        <v>4.0</v>
      </c>
      <c r="J234" s="25" t="s">
        <v>66</v>
      </c>
      <c r="K234" s="24">
        <v>78.0</v>
      </c>
      <c r="L234" s="25" t="s">
        <v>181</v>
      </c>
    </row>
    <row r="235" ht="15.75" customHeight="1">
      <c r="A235" s="27" t="s">
        <v>3738</v>
      </c>
      <c r="B235" s="27" t="s">
        <v>1030</v>
      </c>
      <c r="C235" s="27" t="s">
        <v>3496</v>
      </c>
      <c r="D235" s="27" t="s">
        <v>3485</v>
      </c>
      <c r="E235" s="27" t="s">
        <v>3486</v>
      </c>
      <c r="F235" s="27" t="s">
        <v>263</v>
      </c>
      <c r="G235" s="33">
        <v>45142.0</v>
      </c>
      <c r="H235" s="33">
        <v>45151.0</v>
      </c>
      <c r="I235" s="26">
        <v>4.0</v>
      </c>
      <c r="J235" s="27" t="s">
        <v>66</v>
      </c>
      <c r="K235" s="26">
        <v>90.0</v>
      </c>
      <c r="L235" s="27" t="s">
        <v>181</v>
      </c>
    </row>
    <row r="236" ht="15.75" customHeight="1">
      <c r="A236" s="25" t="s">
        <v>3739</v>
      </c>
      <c r="B236" s="25" t="s">
        <v>1030</v>
      </c>
      <c r="C236" s="25" t="s">
        <v>3501</v>
      </c>
      <c r="D236" s="25" t="s">
        <v>3481</v>
      </c>
      <c r="E236" s="25" t="s">
        <v>3502</v>
      </c>
      <c r="F236" s="25" t="s">
        <v>266</v>
      </c>
      <c r="G236" s="30">
        <v>45492.0</v>
      </c>
      <c r="H236" s="30">
        <v>45504.0</v>
      </c>
      <c r="I236" s="24">
        <v>8.0</v>
      </c>
      <c r="J236" s="25" t="s">
        <v>66</v>
      </c>
      <c r="K236" s="24">
        <v>88.0</v>
      </c>
      <c r="L236" s="25" t="s">
        <v>181</v>
      </c>
    </row>
    <row r="237" ht="15.75" customHeight="1">
      <c r="A237" s="27" t="s">
        <v>3740</v>
      </c>
      <c r="B237" s="27" t="s">
        <v>1030</v>
      </c>
      <c r="C237" s="27" t="s">
        <v>3547</v>
      </c>
      <c r="D237" s="27" t="s">
        <v>3485</v>
      </c>
      <c r="E237" s="27" t="s">
        <v>3486</v>
      </c>
      <c r="F237" s="27" t="s">
        <v>340</v>
      </c>
      <c r="G237" s="33">
        <v>45126.0</v>
      </c>
      <c r="H237" s="33">
        <v>45153.0</v>
      </c>
      <c r="I237" s="26">
        <v>24.0</v>
      </c>
      <c r="J237" s="27" t="s">
        <v>66</v>
      </c>
      <c r="K237" s="26">
        <v>77.0</v>
      </c>
      <c r="L237" s="27" t="s">
        <v>181</v>
      </c>
    </row>
    <row r="238" ht="15.75" customHeight="1">
      <c r="A238" s="25" t="s">
        <v>3741</v>
      </c>
      <c r="B238" s="25" t="s">
        <v>1037</v>
      </c>
      <c r="C238" s="25" t="s">
        <v>3529</v>
      </c>
      <c r="D238" s="25" t="s">
        <v>3481</v>
      </c>
      <c r="E238" s="25" t="s">
        <v>3530</v>
      </c>
      <c r="F238" s="25" t="s">
        <v>333</v>
      </c>
      <c r="G238" s="30">
        <v>45042.0</v>
      </c>
      <c r="H238" s="30">
        <v>45063.0</v>
      </c>
      <c r="I238" s="24">
        <v>8.0</v>
      </c>
      <c r="J238" s="25" t="s">
        <v>66</v>
      </c>
      <c r="K238" s="24">
        <v>95.0</v>
      </c>
      <c r="L238" s="25" t="s">
        <v>181</v>
      </c>
    </row>
    <row r="239" ht="15.75" customHeight="1">
      <c r="A239" s="27" t="s">
        <v>3742</v>
      </c>
      <c r="B239" s="27" t="s">
        <v>1037</v>
      </c>
      <c r="C239" s="27" t="s">
        <v>3547</v>
      </c>
      <c r="D239" s="27" t="s">
        <v>3485</v>
      </c>
      <c r="E239" s="27" t="s">
        <v>3486</v>
      </c>
      <c r="F239" s="27" t="s">
        <v>340</v>
      </c>
      <c r="G239" s="33">
        <v>44786.0</v>
      </c>
      <c r="H239" s="33">
        <v>44795.0</v>
      </c>
      <c r="I239" s="26">
        <v>32.0</v>
      </c>
      <c r="J239" s="27" t="s">
        <v>3497</v>
      </c>
      <c r="K239" s="27"/>
      <c r="L239" s="27" t="s">
        <v>187</v>
      </c>
    </row>
    <row r="240" ht="15.75" customHeight="1">
      <c r="A240" s="25" t="s">
        <v>3743</v>
      </c>
      <c r="B240" s="25" t="s">
        <v>1037</v>
      </c>
      <c r="C240" s="25" t="s">
        <v>3492</v>
      </c>
      <c r="D240" s="25" t="s">
        <v>3485</v>
      </c>
      <c r="E240" s="25" t="s">
        <v>3486</v>
      </c>
      <c r="F240" s="25" t="s">
        <v>234</v>
      </c>
      <c r="G240" s="30">
        <v>44764.0</v>
      </c>
      <c r="H240" s="30">
        <v>44773.0</v>
      </c>
      <c r="I240" s="24">
        <v>32.0</v>
      </c>
      <c r="J240" s="25" t="s">
        <v>3497</v>
      </c>
      <c r="K240" s="25"/>
      <c r="L240" s="25" t="s">
        <v>187</v>
      </c>
    </row>
    <row r="241" ht="15.75" customHeight="1">
      <c r="A241" s="27" t="s">
        <v>3744</v>
      </c>
      <c r="B241" s="27" t="s">
        <v>1037</v>
      </c>
      <c r="C241" s="27" t="s">
        <v>3496</v>
      </c>
      <c r="D241" s="27" t="s">
        <v>3485</v>
      </c>
      <c r="E241" s="27" t="s">
        <v>3486</v>
      </c>
      <c r="F241" s="27" t="s">
        <v>263</v>
      </c>
      <c r="G241" s="33">
        <v>45388.0</v>
      </c>
      <c r="H241" s="33">
        <v>45389.0</v>
      </c>
      <c r="I241" s="26">
        <v>4.0</v>
      </c>
      <c r="J241" s="27" t="s">
        <v>66</v>
      </c>
      <c r="K241" s="26">
        <v>75.0</v>
      </c>
      <c r="L241" s="27" t="s">
        <v>187</v>
      </c>
    </row>
    <row r="242" ht="15.75" customHeight="1">
      <c r="A242" s="25" t="s">
        <v>3745</v>
      </c>
      <c r="B242" s="25" t="s">
        <v>1043</v>
      </c>
      <c r="C242" s="25" t="s">
        <v>3501</v>
      </c>
      <c r="D242" s="25" t="s">
        <v>3481</v>
      </c>
      <c r="E242" s="25" t="s">
        <v>3502</v>
      </c>
      <c r="F242" s="25" t="s">
        <v>266</v>
      </c>
      <c r="G242" s="30">
        <v>45647.0</v>
      </c>
      <c r="H242" s="30">
        <v>45677.0</v>
      </c>
      <c r="I242" s="24">
        <v>24.0</v>
      </c>
      <c r="J242" s="25" t="s">
        <v>66</v>
      </c>
      <c r="K242" s="24">
        <v>93.0</v>
      </c>
      <c r="L242" s="25" t="s">
        <v>181</v>
      </c>
    </row>
    <row r="243" ht="15.75" customHeight="1">
      <c r="A243" s="27" t="s">
        <v>3746</v>
      </c>
      <c r="B243" s="27" t="s">
        <v>1043</v>
      </c>
      <c r="C243" s="27" t="s">
        <v>3529</v>
      </c>
      <c r="D243" s="27" t="s">
        <v>3481</v>
      </c>
      <c r="E243" s="27" t="s">
        <v>3530</v>
      </c>
      <c r="F243" s="27" t="s">
        <v>333</v>
      </c>
      <c r="G243" s="33">
        <v>44867.0</v>
      </c>
      <c r="H243" s="33">
        <v>44868.0</v>
      </c>
      <c r="I243" s="26">
        <v>40.0</v>
      </c>
      <c r="J243" s="27" t="s">
        <v>66</v>
      </c>
      <c r="K243" s="26">
        <v>95.0</v>
      </c>
      <c r="L243" s="27" t="s">
        <v>187</v>
      </c>
    </row>
    <row r="244" ht="15.75" customHeight="1">
      <c r="A244" s="25" t="s">
        <v>3747</v>
      </c>
      <c r="B244" s="25" t="s">
        <v>1043</v>
      </c>
      <c r="C244" s="25" t="s">
        <v>3504</v>
      </c>
      <c r="D244" s="25" t="s">
        <v>3481</v>
      </c>
      <c r="E244" s="25" t="s">
        <v>3505</v>
      </c>
      <c r="F244" s="25" t="s">
        <v>229</v>
      </c>
      <c r="G244" s="30">
        <v>45260.0</v>
      </c>
      <c r="H244" s="30">
        <v>45261.0</v>
      </c>
      <c r="I244" s="24">
        <v>8.0</v>
      </c>
      <c r="J244" s="25" t="s">
        <v>66</v>
      </c>
      <c r="K244" s="24">
        <v>66.0</v>
      </c>
      <c r="L244" s="25" t="s">
        <v>187</v>
      </c>
    </row>
    <row r="245" ht="15.75" customHeight="1">
      <c r="A245" s="27" t="s">
        <v>3748</v>
      </c>
      <c r="B245" s="27" t="s">
        <v>1049</v>
      </c>
      <c r="C245" s="27" t="s">
        <v>3510</v>
      </c>
      <c r="D245" s="27" t="s">
        <v>3485</v>
      </c>
      <c r="E245" s="27" t="s">
        <v>3486</v>
      </c>
      <c r="F245" s="27" t="s">
        <v>329</v>
      </c>
      <c r="G245" s="33">
        <v>44970.0</v>
      </c>
      <c r="H245" s="33">
        <v>44991.0</v>
      </c>
      <c r="I245" s="26">
        <v>32.0</v>
      </c>
      <c r="J245" s="27" t="s">
        <v>66</v>
      </c>
      <c r="K245" s="26">
        <v>96.0</v>
      </c>
      <c r="L245" s="27" t="s">
        <v>187</v>
      </c>
    </row>
    <row r="246" ht="15.75" customHeight="1">
      <c r="A246" s="25" t="s">
        <v>3749</v>
      </c>
      <c r="B246" s="25" t="s">
        <v>1049</v>
      </c>
      <c r="C246" s="25" t="s">
        <v>3489</v>
      </c>
      <c r="D246" s="25" t="s">
        <v>3485</v>
      </c>
      <c r="E246" s="25" t="s">
        <v>3486</v>
      </c>
      <c r="F246" s="25" t="s">
        <v>336</v>
      </c>
      <c r="G246" s="30">
        <v>44758.0</v>
      </c>
      <c r="H246" s="30">
        <v>44771.0</v>
      </c>
      <c r="I246" s="24">
        <v>8.0</v>
      </c>
      <c r="J246" s="25" t="s">
        <v>66</v>
      </c>
      <c r="K246" s="24">
        <v>75.0</v>
      </c>
      <c r="L246" s="25" t="s">
        <v>187</v>
      </c>
    </row>
    <row r="247" ht="15.75" customHeight="1">
      <c r="A247" s="27" t="s">
        <v>3750</v>
      </c>
      <c r="B247" s="27" t="s">
        <v>1049</v>
      </c>
      <c r="C247" s="27" t="s">
        <v>3507</v>
      </c>
      <c r="D247" s="27" t="s">
        <v>3481</v>
      </c>
      <c r="E247" s="27" t="s">
        <v>3508</v>
      </c>
      <c r="F247" s="27" t="s">
        <v>288</v>
      </c>
      <c r="G247" s="33">
        <v>44655.0</v>
      </c>
      <c r="H247" s="33">
        <v>44683.0</v>
      </c>
      <c r="I247" s="26">
        <v>24.0</v>
      </c>
      <c r="J247" s="27" t="s">
        <v>66</v>
      </c>
      <c r="K247" s="26">
        <v>75.0</v>
      </c>
      <c r="L247" s="27" t="s">
        <v>187</v>
      </c>
    </row>
    <row r="248" ht="15.75" customHeight="1">
      <c r="A248" s="25" t="s">
        <v>3751</v>
      </c>
      <c r="B248" s="25" t="s">
        <v>1049</v>
      </c>
      <c r="C248" s="25" t="s">
        <v>3484</v>
      </c>
      <c r="D248" s="25" t="s">
        <v>3485</v>
      </c>
      <c r="E248" s="25" t="s">
        <v>3486</v>
      </c>
      <c r="F248" s="25" t="s">
        <v>284</v>
      </c>
      <c r="G248" s="30">
        <v>45571.0</v>
      </c>
      <c r="H248" s="30">
        <v>45579.0</v>
      </c>
      <c r="I248" s="24">
        <v>32.0</v>
      </c>
      <c r="J248" s="25" t="s">
        <v>66</v>
      </c>
      <c r="K248" s="24">
        <v>61.0</v>
      </c>
      <c r="L248" s="25" t="s">
        <v>181</v>
      </c>
    </row>
    <row r="249" ht="15.75" customHeight="1">
      <c r="A249" s="27" t="s">
        <v>3752</v>
      </c>
      <c r="B249" s="27" t="s">
        <v>1056</v>
      </c>
      <c r="C249" s="27" t="s">
        <v>3484</v>
      </c>
      <c r="D249" s="27" t="s">
        <v>3485</v>
      </c>
      <c r="E249" s="27" t="s">
        <v>3486</v>
      </c>
      <c r="F249" s="27" t="s">
        <v>284</v>
      </c>
      <c r="G249" s="33">
        <v>44842.0</v>
      </c>
      <c r="H249" s="33">
        <v>44850.0</v>
      </c>
      <c r="I249" s="26">
        <v>4.0</v>
      </c>
      <c r="J249" s="27" t="s">
        <v>66</v>
      </c>
      <c r="K249" s="26">
        <v>73.0</v>
      </c>
      <c r="L249" s="27" t="s">
        <v>187</v>
      </c>
    </row>
    <row r="250" ht="15.75" customHeight="1">
      <c r="A250" s="25" t="s">
        <v>3753</v>
      </c>
      <c r="B250" s="25" t="s">
        <v>1063</v>
      </c>
      <c r="C250" s="25" t="s">
        <v>3538</v>
      </c>
      <c r="D250" s="25" t="s">
        <v>3485</v>
      </c>
      <c r="E250" s="25" t="s">
        <v>3486</v>
      </c>
      <c r="F250" s="25" t="s">
        <v>234</v>
      </c>
      <c r="G250" s="30">
        <v>45465.0</v>
      </c>
      <c r="H250" s="30">
        <v>45488.0</v>
      </c>
      <c r="I250" s="24">
        <v>40.0</v>
      </c>
      <c r="J250" s="25" t="s">
        <v>66</v>
      </c>
      <c r="K250" s="24">
        <v>73.0</v>
      </c>
      <c r="L250" s="25" t="s">
        <v>181</v>
      </c>
    </row>
    <row r="251" ht="15.75" customHeight="1">
      <c r="A251" s="27" t="s">
        <v>3754</v>
      </c>
      <c r="B251" s="27" t="s">
        <v>1063</v>
      </c>
      <c r="C251" s="27" t="s">
        <v>3489</v>
      </c>
      <c r="D251" s="27" t="s">
        <v>3485</v>
      </c>
      <c r="E251" s="27" t="s">
        <v>3486</v>
      </c>
      <c r="F251" s="27" t="s">
        <v>336</v>
      </c>
      <c r="G251" s="33">
        <v>45321.0</v>
      </c>
      <c r="H251" s="33">
        <v>45325.0</v>
      </c>
      <c r="I251" s="26">
        <v>4.0</v>
      </c>
      <c r="J251" s="27" t="s">
        <v>66</v>
      </c>
      <c r="K251" s="26">
        <v>97.0</v>
      </c>
      <c r="L251" s="27" t="s">
        <v>187</v>
      </c>
    </row>
    <row r="252" ht="15.75" customHeight="1">
      <c r="A252" s="25" t="s">
        <v>3755</v>
      </c>
      <c r="B252" s="25" t="s">
        <v>1063</v>
      </c>
      <c r="C252" s="25" t="s">
        <v>3480</v>
      </c>
      <c r="D252" s="25" t="s">
        <v>3481</v>
      </c>
      <c r="E252" s="25" t="s">
        <v>3482</v>
      </c>
      <c r="F252" s="25" t="s">
        <v>246</v>
      </c>
      <c r="G252" s="30">
        <v>44808.0</v>
      </c>
      <c r="H252" s="30">
        <v>44817.0</v>
      </c>
      <c r="I252" s="24">
        <v>24.0</v>
      </c>
      <c r="J252" s="25" t="s">
        <v>66</v>
      </c>
      <c r="K252" s="24">
        <v>73.0</v>
      </c>
      <c r="L252" s="25" t="s">
        <v>181</v>
      </c>
    </row>
    <row r="253" ht="15.75" customHeight="1">
      <c r="A253" s="27" t="s">
        <v>3756</v>
      </c>
      <c r="B253" s="27" t="s">
        <v>1063</v>
      </c>
      <c r="C253" s="27" t="s">
        <v>3501</v>
      </c>
      <c r="D253" s="27" t="s">
        <v>3481</v>
      </c>
      <c r="E253" s="27" t="s">
        <v>3502</v>
      </c>
      <c r="F253" s="27" t="s">
        <v>266</v>
      </c>
      <c r="G253" s="33">
        <v>45259.0</v>
      </c>
      <c r="H253" s="33">
        <v>45289.0</v>
      </c>
      <c r="I253" s="26">
        <v>4.0</v>
      </c>
      <c r="J253" s="27" t="s">
        <v>66</v>
      </c>
      <c r="K253" s="26">
        <v>65.0</v>
      </c>
      <c r="L253" s="27" t="s">
        <v>187</v>
      </c>
    </row>
    <row r="254" ht="15.75" customHeight="1">
      <c r="A254" s="25" t="s">
        <v>3757</v>
      </c>
      <c r="B254" s="25" t="s">
        <v>1069</v>
      </c>
      <c r="C254" s="25" t="s">
        <v>3538</v>
      </c>
      <c r="D254" s="25" t="s">
        <v>3485</v>
      </c>
      <c r="E254" s="25" t="s">
        <v>3486</v>
      </c>
      <c r="F254" s="25" t="s">
        <v>234</v>
      </c>
      <c r="G254" s="30">
        <v>45536.0</v>
      </c>
      <c r="H254" s="30">
        <v>45559.0</v>
      </c>
      <c r="I254" s="24">
        <v>8.0</v>
      </c>
      <c r="J254" s="25" t="s">
        <v>66</v>
      </c>
      <c r="K254" s="24">
        <v>60.0</v>
      </c>
      <c r="L254" s="25" t="s">
        <v>187</v>
      </c>
    </row>
    <row r="255" ht="15.75" customHeight="1">
      <c r="A255" s="27" t="s">
        <v>3758</v>
      </c>
      <c r="B255" s="27" t="s">
        <v>1069</v>
      </c>
      <c r="C255" s="27" t="s">
        <v>3489</v>
      </c>
      <c r="D255" s="27" t="s">
        <v>3485</v>
      </c>
      <c r="E255" s="27" t="s">
        <v>3486</v>
      </c>
      <c r="F255" s="27" t="s">
        <v>336</v>
      </c>
      <c r="G255" s="33">
        <v>45005.0</v>
      </c>
      <c r="H255" s="33">
        <v>45031.0</v>
      </c>
      <c r="I255" s="26">
        <v>16.0</v>
      </c>
      <c r="J255" s="27" t="s">
        <v>66</v>
      </c>
      <c r="K255" s="26">
        <v>66.0</v>
      </c>
      <c r="L255" s="27" t="s">
        <v>181</v>
      </c>
    </row>
    <row r="256" ht="15.75" customHeight="1">
      <c r="A256" s="25" t="s">
        <v>3759</v>
      </c>
      <c r="B256" s="25" t="s">
        <v>1069</v>
      </c>
      <c r="C256" s="25" t="s">
        <v>3504</v>
      </c>
      <c r="D256" s="25" t="s">
        <v>3481</v>
      </c>
      <c r="E256" s="25" t="s">
        <v>3505</v>
      </c>
      <c r="F256" s="25" t="s">
        <v>229</v>
      </c>
      <c r="G256" s="30">
        <v>45593.0</v>
      </c>
      <c r="H256" s="30">
        <v>45612.0</v>
      </c>
      <c r="I256" s="24">
        <v>32.0</v>
      </c>
      <c r="J256" s="25" t="s">
        <v>66</v>
      </c>
      <c r="K256" s="24">
        <v>77.0</v>
      </c>
      <c r="L256" s="25" t="s">
        <v>181</v>
      </c>
    </row>
    <row r="257" ht="15.75" customHeight="1">
      <c r="A257" s="27" t="s">
        <v>3760</v>
      </c>
      <c r="B257" s="27" t="s">
        <v>1069</v>
      </c>
      <c r="C257" s="27" t="s">
        <v>3529</v>
      </c>
      <c r="D257" s="27" t="s">
        <v>3481</v>
      </c>
      <c r="E257" s="27" t="s">
        <v>3530</v>
      </c>
      <c r="F257" s="27" t="s">
        <v>333</v>
      </c>
      <c r="G257" s="33">
        <v>45436.0</v>
      </c>
      <c r="H257" s="33">
        <v>45459.0</v>
      </c>
      <c r="I257" s="26">
        <v>16.0</v>
      </c>
      <c r="J257" s="27" t="s">
        <v>66</v>
      </c>
      <c r="K257" s="26">
        <v>88.0</v>
      </c>
      <c r="L257" s="27" t="s">
        <v>181</v>
      </c>
    </row>
    <row r="258" ht="15.75" customHeight="1">
      <c r="A258" s="25" t="s">
        <v>3761</v>
      </c>
      <c r="B258" s="25" t="s">
        <v>1069</v>
      </c>
      <c r="C258" s="25" t="s">
        <v>3496</v>
      </c>
      <c r="D258" s="25" t="s">
        <v>3485</v>
      </c>
      <c r="E258" s="25" t="s">
        <v>3486</v>
      </c>
      <c r="F258" s="25" t="s">
        <v>263</v>
      </c>
      <c r="G258" s="30">
        <v>44617.0</v>
      </c>
      <c r="H258" s="30">
        <v>44641.0</v>
      </c>
      <c r="I258" s="24">
        <v>40.0</v>
      </c>
      <c r="J258" s="25" t="s">
        <v>66</v>
      </c>
      <c r="K258" s="24">
        <v>96.0</v>
      </c>
      <c r="L258" s="25" t="s">
        <v>181</v>
      </c>
    </row>
    <row r="259" ht="15.75" customHeight="1">
      <c r="A259" s="27" t="s">
        <v>3762</v>
      </c>
      <c r="B259" s="27" t="s">
        <v>1076</v>
      </c>
      <c r="C259" s="27" t="s">
        <v>3529</v>
      </c>
      <c r="D259" s="27" t="s">
        <v>3481</v>
      </c>
      <c r="E259" s="27" t="s">
        <v>3530</v>
      </c>
      <c r="F259" s="27" t="s">
        <v>333</v>
      </c>
      <c r="G259" s="33">
        <v>45041.0</v>
      </c>
      <c r="H259" s="33">
        <v>45065.0</v>
      </c>
      <c r="I259" s="26">
        <v>8.0</v>
      </c>
      <c r="J259" s="27" t="s">
        <v>66</v>
      </c>
      <c r="K259" s="26">
        <v>72.0</v>
      </c>
      <c r="L259" s="27" t="s">
        <v>181</v>
      </c>
    </row>
    <row r="260" ht="15.75" customHeight="1">
      <c r="A260" s="25" t="s">
        <v>3763</v>
      </c>
      <c r="B260" s="25" t="s">
        <v>1076</v>
      </c>
      <c r="C260" s="25" t="s">
        <v>3492</v>
      </c>
      <c r="D260" s="25" t="s">
        <v>3485</v>
      </c>
      <c r="E260" s="25" t="s">
        <v>3486</v>
      </c>
      <c r="F260" s="25" t="s">
        <v>234</v>
      </c>
      <c r="G260" s="30">
        <v>44966.0</v>
      </c>
      <c r="H260" s="30">
        <v>44971.0</v>
      </c>
      <c r="I260" s="24">
        <v>4.0</v>
      </c>
      <c r="J260" s="25" t="s">
        <v>66</v>
      </c>
      <c r="K260" s="24">
        <v>88.0</v>
      </c>
      <c r="L260" s="25" t="s">
        <v>181</v>
      </c>
    </row>
    <row r="261" ht="15.75" customHeight="1">
      <c r="A261" s="27" t="s">
        <v>3764</v>
      </c>
      <c r="B261" s="27" t="s">
        <v>1076</v>
      </c>
      <c r="C261" s="27" t="s">
        <v>3501</v>
      </c>
      <c r="D261" s="27" t="s">
        <v>3481</v>
      </c>
      <c r="E261" s="27" t="s">
        <v>3502</v>
      </c>
      <c r="F261" s="27" t="s">
        <v>266</v>
      </c>
      <c r="G261" s="33">
        <v>44837.0</v>
      </c>
      <c r="H261" s="33">
        <v>44839.0</v>
      </c>
      <c r="I261" s="26">
        <v>40.0</v>
      </c>
      <c r="J261" s="27" t="s">
        <v>66</v>
      </c>
      <c r="K261" s="26">
        <v>73.0</v>
      </c>
      <c r="L261" s="27" t="s">
        <v>187</v>
      </c>
    </row>
    <row r="262" ht="15.75" customHeight="1">
      <c r="A262" s="25" t="s">
        <v>3765</v>
      </c>
      <c r="B262" s="25" t="s">
        <v>1082</v>
      </c>
      <c r="C262" s="25" t="s">
        <v>3507</v>
      </c>
      <c r="D262" s="25" t="s">
        <v>3481</v>
      </c>
      <c r="E262" s="25" t="s">
        <v>3508</v>
      </c>
      <c r="F262" s="25" t="s">
        <v>288</v>
      </c>
      <c r="G262" s="30">
        <v>44877.0</v>
      </c>
      <c r="H262" s="30">
        <v>44900.0</v>
      </c>
      <c r="I262" s="24">
        <v>8.0</v>
      </c>
      <c r="J262" s="25" t="s">
        <v>66</v>
      </c>
      <c r="K262" s="24">
        <v>90.0</v>
      </c>
      <c r="L262" s="25" t="s">
        <v>187</v>
      </c>
    </row>
    <row r="263" ht="15.75" customHeight="1">
      <c r="A263" s="27" t="s">
        <v>3766</v>
      </c>
      <c r="B263" s="27" t="s">
        <v>1082</v>
      </c>
      <c r="C263" s="27" t="s">
        <v>3504</v>
      </c>
      <c r="D263" s="27" t="s">
        <v>3481</v>
      </c>
      <c r="E263" s="27" t="s">
        <v>3505</v>
      </c>
      <c r="F263" s="27" t="s">
        <v>229</v>
      </c>
      <c r="G263" s="33">
        <v>44577.0</v>
      </c>
      <c r="H263" s="33">
        <v>44583.0</v>
      </c>
      <c r="I263" s="26">
        <v>32.0</v>
      </c>
      <c r="J263" s="27" t="s">
        <v>66</v>
      </c>
      <c r="K263" s="26">
        <v>71.0</v>
      </c>
      <c r="L263" s="27" t="s">
        <v>187</v>
      </c>
    </row>
    <row r="264" ht="15.75" customHeight="1">
      <c r="A264" s="25" t="s">
        <v>3767</v>
      </c>
      <c r="B264" s="25" t="s">
        <v>1082</v>
      </c>
      <c r="C264" s="25" t="s">
        <v>3517</v>
      </c>
      <c r="D264" s="25" t="s">
        <v>3481</v>
      </c>
      <c r="E264" s="25" t="s">
        <v>3518</v>
      </c>
      <c r="F264" s="25" t="s">
        <v>238</v>
      </c>
      <c r="G264" s="30">
        <v>44784.0</v>
      </c>
      <c r="H264" s="30">
        <v>44787.0</v>
      </c>
      <c r="I264" s="24">
        <v>8.0</v>
      </c>
      <c r="J264" s="25" t="s">
        <v>3497</v>
      </c>
      <c r="K264" s="25"/>
      <c r="L264" s="25" t="s">
        <v>181</v>
      </c>
    </row>
    <row r="265" ht="15.75" customHeight="1">
      <c r="A265" s="27" t="s">
        <v>3768</v>
      </c>
      <c r="B265" s="27" t="s">
        <v>1089</v>
      </c>
      <c r="C265" s="27" t="s">
        <v>3517</v>
      </c>
      <c r="D265" s="27" t="s">
        <v>3481</v>
      </c>
      <c r="E265" s="27" t="s">
        <v>3518</v>
      </c>
      <c r="F265" s="27" t="s">
        <v>238</v>
      </c>
      <c r="G265" s="33">
        <v>45452.0</v>
      </c>
      <c r="H265" s="33">
        <v>45460.0</v>
      </c>
      <c r="I265" s="26">
        <v>8.0</v>
      </c>
      <c r="J265" s="27" t="s">
        <v>66</v>
      </c>
      <c r="K265" s="26">
        <v>77.0</v>
      </c>
      <c r="L265" s="27" t="s">
        <v>187</v>
      </c>
    </row>
    <row r="266" ht="15.75" customHeight="1">
      <c r="A266" s="25" t="s">
        <v>3769</v>
      </c>
      <c r="B266" s="25" t="s">
        <v>1089</v>
      </c>
      <c r="C266" s="25" t="s">
        <v>3480</v>
      </c>
      <c r="D266" s="25" t="s">
        <v>3481</v>
      </c>
      <c r="E266" s="25" t="s">
        <v>3482</v>
      </c>
      <c r="F266" s="25" t="s">
        <v>246</v>
      </c>
      <c r="G266" s="30">
        <v>45489.0</v>
      </c>
      <c r="H266" s="30">
        <v>45495.0</v>
      </c>
      <c r="I266" s="24">
        <v>32.0</v>
      </c>
      <c r="J266" s="25" t="s">
        <v>3497</v>
      </c>
      <c r="K266" s="25"/>
      <c r="L266" s="25" t="s">
        <v>181</v>
      </c>
    </row>
    <row r="267" ht="15.75" customHeight="1">
      <c r="A267" s="27" t="s">
        <v>3770</v>
      </c>
      <c r="B267" s="27" t="s">
        <v>1095</v>
      </c>
      <c r="C267" s="27" t="s">
        <v>3517</v>
      </c>
      <c r="D267" s="27" t="s">
        <v>3481</v>
      </c>
      <c r="E267" s="27" t="s">
        <v>3518</v>
      </c>
      <c r="F267" s="27" t="s">
        <v>238</v>
      </c>
      <c r="G267" s="33">
        <v>45133.0</v>
      </c>
      <c r="H267" s="33">
        <v>45144.0</v>
      </c>
      <c r="I267" s="26">
        <v>8.0</v>
      </c>
      <c r="J267" s="27" t="s">
        <v>66</v>
      </c>
      <c r="K267" s="26">
        <v>61.0</v>
      </c>
      <c r="L267" s="27" t="s">
        <v>181</v>
      </c>
    </row>
    <row r="268" ht="15.75" customHeight="1">
      <c r="A268" s="25" t="s">
        <v>3771</v>
      </c>
      <c r="B268" s="25" t="s">
        <v>1095</v>
      </c>
      <c r="C268" s="25" t="s">
        <v>3492</v>
      </c>
      <c r="D268" s="25" t="s">
        <v>3485</v>
      </c>
      <c r="E268" s="25" t="s">
        <v>3486</v>
      </c>
      <c r="F268" s="25" t="s">
        <v>234</v>
      </c>
      <c r="G268" s="30">
        <v>45393.0</v>
      </c>
      <c r="H268" s="30">
        <v>45403.0</v>
      </c>
      <c r="I268" s="24">
        <v>32.0</v>
      </c>
      <c r="J268" s="25" t="s">
        <v>66</v>
      </c>
      <c r="K268" s="24">
        <v>89.0</v>
      </c>
      <c r="L268" s="25" t="s">
        <v>181</v>
      </c>
    </row>
    <row r="269" ht="15.75" customHeight="1">
      <c r="A269" s="27" t="s">
        <v>3772</v>
      </c>
      <c r="B269" s="27" t="s">
        <v>1095</v>
      </c>
      <c r="C269" s="27" t="s">
        <v>3484</v>
      </c>
      <c r="D269" s="27" t="s">
        <v>3485</v>
      </c>
      <c r="E269" s="27" t="s">
        <v>3486</v>
      </c>
      <c r="F269" s="27" t="s">
        <v>284</v>
      </c>
      <c r="G269" s="33">
        <v>44798.0</v>
      </c>
      <c r="H269" s="33">
        <v>44824.0</v>
      </c>
      <c r="I269" s="26">
        <v>4.0</v>
      </c>
      <c r="J269" s="27" t="s">
        <v>66</v>
      </c>
      <c r="K269" s="26">
        <v>74.0</v>
      </c>
      <c r="L269" s="27" t="s">
        <v>181</v>
      </c>
    </row>
    <row r="270" ht="15.75" customHeight="1">
      <c r="A270" s="25" t="s">
        <v>3773</v>
      </c>
      <c r="B270" s="25" t="s">
        <v>1095</v>
      </c>
      <c r="C270" s="25" t="s">
        <v>3547</v>
      </c>
      <c r="D270" s="25" t="s">
        <v>3485</v>
      </c>
      <c r="E270" s="25" t="s">
        <v>3486</v>
      </c>
      <c r="F270" s="25" t="s">
        <v>340</v>
      </c>
      <c r="G270" s="30">
        <v>45543.0</v>
      </c>
      <c r="H270" s="30">
        <v>45556.0</v>
      </c>
      <c r="I270" s="24">
        <v>32.0</v>
      </c>
      <c r="J270" s="25" t="s">
        <v>3487</v>
      </c>
      <c r="K270" s="25"/>
      <c r="L270" s="25" t="s">
        <v>181</v>
      </c>
    </row>
    <row r="271" ht="15.75" customHeight="1">
      <c r="A271" s="27" t="s">
        <v>3774</v>
      </c>
      <c r="B271" s="27" t="s">
        <v>1102</v>
      </c>
      <c r="C271" s="27" t="s">
        <v>3538</v>
      </c>
      <c r="D271" s="27" t="s">
        <v>3485</v>
      </c>
      <c r="E271" s="27" t="s">
        <v>3486</v>
      </c>
      <c r="F271" s="27" t="s">
        <v>234</v>
      </c>
      <c r="G271" s="33">
        <v>44930.0</v>
      </c>
      <c r="H271" s="33">
        <v>44948.0</v>
      </c>
      <c r="I271" s="26">
        <v>8.0</v>
      </c>
      <c r="J271" s="27" t="s">
        <v>3497</v>
      </c>
      <c r="K271" s="27"/>
      <c r="L271" s="27" t="s">
        <v>181</v>
      </c>
    </row>
    <row r="272" ht="15.75" customHeight="1">
      <c r="A272" s="25" t="s">
        <v>3775</v>
      </c>
      <c r="B272" s="25" t="s">
        <v>1110</v>
      </c>
      <c r="C272" s="25" t="s">
        <v>3538</v>
      </c>
      <c r="D272" s="25" t="s">
        <v>3485</v>
      </c>
      <c r="E272" s="25" t="s">
        <v>3486</v>
      </c>
      <c r="F272" s="25" t="s">
        <v>234</v>
      </c>
      <c r="G272" s="30">
        <v>44713.0</v>
      </c>
      <c r="H272" s="30">
        <v>44721.0</v>
      </c>
      <c r="I272" s="24">
        <v>4.0</v>
      </c>
      <c r="J272" s="25" t="s">
        <v>66</v>
      </c>
      <c r="K272" s="24">
        <v>81.0</v>
      </c>
      <c r="L272" s="25" t="s">
        <v>181</v>
      </c>
    </row>
    <row r="273" ht="15.75" customHeight="1">
      <c r="A273" s="27" t="s">
        <v>3776</v>
      </c>
      <c r="B273" s="27" t="s">
        <v>1116</v>
      </c>
      <c r="C273" s="27" t="s">
        <v>3510</v>
      </c>
      <c r="D273" s="27" t="s">
        <v>3485</v>
      </c>
      <c r="E273" s="27" t="s">
        <v>3486</v>
      </c>
      <c r="F273" s="27" t="s">
        <v>329</v>
      </c>
      <c r="G273" s="33">
        <v>44840.0</v>
      </c>
      <c r="H273" s="33">
        <v>44867.0</v>
      </c>
      <c r="I273" s="26">
        <v>24.0</v>
      </c>
      <c r="J273" s="27" t="s">
        <v>66</v>
      </c>
      <c r="K273" s="26">
        <v>91.0</v>
      </c>
      <c r="L273" s="27" t="s">
        <v>181</v>
      </c>
    </row>
    <row r="274" ht="15.75" customHeight="1">
      <c r="A274" s="25" t="s">
        <v>3777</v>
      </c>
      <c r="B274" s="25" t="s">
        <v>1116</v>
      </c>
      <c r="C274" s="25" t="s">
        <v>3513</v>
      </c>
      <c r="D274" s="25" t="s">
        <v>3481</v>
      </c>
      <c r="E274" s="25" t="s">
        <v>3514</v>
      </c>
      <c r="F274" s="25" t="s">
        <v>313</v>
      </c>
      <c r="G274" s="30">
        <v>44848.0</v>
      </c>
      <c r="H274" s="30">
        <v>44874.0</v>
      </c>
      <c r="I274" s="24">
        <v>40.0</v>
      </c>
      <c r="J274" s="25" t="s">
        <v>3497</v>
      </c>
      <c r="K274" s="25"/>
      <c r="L274" s="25" t="s">
        <v>181</v>
      </c>
    </row>
    <row r="275" ht="15.75" customHeight="1">
      <c r="A275" s="27" t="s">
        <v>3778</v>
      </c>
      <c r="B275" s="27" t="s">
        <v>1116</v>
      </c>
      <c r="C275" s="27" t="s">
        <v>3538</v>
      </c>
      <c r="D275" s="27" t="s">
        <v>3485</v>
      </c>
      <c r="E275" s="27" t="s">
        <v>3486</v>
      </c>
      <c r="F275" s="27" t="s">
        <v>234</v>
      </c>
      <c r="G275" s="33">
        <v>45622.0</v>
      </c>
      <c r="H275" s="33">
        <v>45627.0</v>
      </c>
      <c r="I275" s="26">
        <v>4.0</v>
      </c>
      <c r="J275" s="27" t="s">
        <v>66</v>
      </c>
      <c r="K275" s="26">
        <v>87.0</v>
      </c>
      <c r="L275" s="27" t="s">
        <v>181</v>
      </c>
    </row>
    <row r="276" ht="15.75" customHeight="1">
      <c r="A276" s="25" t="s">
        <v>3779</v>
      </c>
      <c r="B276" s="25" t="s">
        <v>1122</v>
      </c>
      <c r="C276" s="25" t="s">
        <v>3547</v>
      </c>
      <c r="D276" s="25" t="s">
        <v>3485</v>
      </c>
      <c r="E276" s="25" t="s">
        <v>3486</v>
      </c>
      <c r="F276" s="25" t="s">
        <v>340</v>
      </c>
      <c r="G276" s="30">
        <v>45127.0</v>
      </c>
      <c r="H276" s="30">
        <v>45155.0</v>
      </c>
      <c r="I276" s="24">
        <v>4.0</v>
      </c>
      <c r="J276" s="25" t="s">
        <v>66</v>
      </c>
      <c r="K276" s="24">
        <v>60.0</v>
      </c>
      <c r="L276" s="25" t="s">
        <v>181</v>
      </c>
    </row>
    <row r="277" ht="15.75" customHeight="1">
      <c r="A277" s="27" t="s">
        <v>3780</v>
      </c>
      <c r="B277" s="27" t="s">
        <v>1122</v>
      </c>
      <c r="C277" s="27" t="s">
        <v>3492</v>
      </c>
      <c r="D277" s="27" t="s">
        <v>3485</v>
      </c>
      <c r="E277" s="27" t="s">
        <v>3486</v>
      </c>
      <c r="F277" s="27" t="s">
        <v>234</v>
      </c>
      <c r="G277" s="33">
        <v>44611.0</v>
      </c>
      <c r="H277" s="33">
        <v>44639.0</v>
      </c>
      <c r="I277" s="26">
        <v>4.0</v>
      </c>
      <c r="J277" s="27" t="s">
        <v>3497</v>
      </c>
      <c r="K277" s="27"/>
      <c r="L277" s="27" t="s">
        <v>181</v>
      </c>
    </row>
    <row r="278" ht="15.75" customHeight="1">
      <c r="A278" s="25" t="s">
        <v>3781</v>
      </c>
      <c r="B278" s="25" t="s">
        <v>1122</v>
      </c>
      <c r="C278" s="25" t="s">
        <v>3504</v>
      </c>
      <c r="D278" s="25" t="s">
        <v>3481</v>
      </c>
      <c r="E278" s="25" t="s">
        <v>3505</v>
      </c>
      <c r="F278" s="25" t="s">
        <v>229</v>
      </c>
      <c r="G278" s="30">
        <v>45222.0</v>
      </c>
      <c r="H278" s="30">
        <v>45228.0</v>
      </c>
      <c r="I278" s="24">
        <v>40.0</v>
      </c>
      <c r="J278" s="25" t="s">
        <v>3497</v>
      </c>
      <c r="K278" s="25"/>
      <c r="L278" s="25" t="s">
        <v>181</v>
      </c>
    </row>
    <row r="279" ht="15.75" customHeight="1">
      <c r="A279" s="27" t="s">
        <v>3782</v>
      </c>
      <c r="B279" s="27" t="s">
        <v>1128</v>
      </c>
      <c r="C279" s="27" t="s">
        <v>3489</v>
      </c>
      <c r="D279" s="27" t="s">
        <v>3485</v>
      </c>
      <c r="E279" s="27" t="s">
        <v>3486</v>
      </c>
      <c r="F279" s="27" t="s">
        <v>336</v>
      </c>
      <c r="G279" s="33">
        <v>44951.0</v>
      </c>
      <c r="H279" s="33">
        <v>44967.0</v>
      </c>
      <c r="I279" s="26">
        <v>4.0</v>
      </c>
      <c r="J279" s="27" t="s">
        <v>3487</v>
      </c>
      <c r="K279" s="27"/>
      <c r="L279" s="27" t="s">
        <v>187</v>
      </c>
    </row>
    <row r="280" ht="15.75" customHeight="1">
      <c r="A280" s="25" t="s">
        <v>3783</v>
      </c>
      <c r="B280" s="25" t="s">
        <v>1134</v>
      </c>
      <c r="C280" s="25" t="s">
        <v>3504</v>
      </c>
      <c r="D280" s="25" t="s">
        <v>3481</v>
      </c>
      <c r="E280" s="25" t="s">
        <v>3505</v>
      </c>
      <c r="F280" s="25" t="s">
        <v>229</v>
      </c>
      <c r="G280" s="30">
        <v>44614.0</v>
      </c>
      <c r="H280" s="30">
        <v>44638.0</v>
      </c>
      <c r="I280" s="24">
        <v>16.0</v>
      </c>
      <c r="J280" s="25" t="s">
        <v>66</v>
      </c>
      <c r="K280" s="24">
        <v>80.0</v>
      </c>
      <c r="L280" s="25" t="s">
        <v>187</v>
      </c>
    </row>
    <row r="281" ht="15.75" customHeight="1">
      <c r="A281" s="27" t="s">
        <v>3784</v>
      </c>
      <c r="B281" s="27" t="s">
        <v>1134</v>
      </c>
      <c r="C281" s="27" t="s">
        <v>3513</v>
      </c>
      <c r="D281" s="27" t="s">
        <v>3481</v>
      </c>
      <c r="E281" s="27" t="s">
        <v>3514</v>
      </c>
      <c r="F281" s="27" t="s">
        <v>313</v>
      </c>
      <c r="G281" s="33">
        <v>44797.0</v>
      </c>
      <c r="H281" s="33">
        <v>44823.0</v>
      </c>
      <c r="I281" s="26">
        <v>40.0</v>
      </c>
      <c r="J281" s="27" t="s">
        <v>3487</v>
      </c>
      <c r="K281" s="27"/>
      <c r="L281" s="27" t="s">
        <v>187</v>
      </c>
    </row>
    <row r="282" ht="15.75" customHeight="1">
      <c r="A282" s="25" t="s">
        <v>3785</v>
      </c>
      <c r="B282" s="25" t="s">
        <v>1134</v>
      </c>
      <c r="C282" s="25" t="s">
        <v>3496</v>
      </c>
      <c r="D282" s="25" t="s">
        <v>3485</v>
      </c>
      <c r="E282" s="25" t="s">
        <v>3486</v>
      </c>
      <c r="F282" s="25" t="s">
        <v>263</v>
      </c>
      <c r="G282" s="30">
        <v>45160.0</v>
      </c>
      <c r="H282" s="30">
        <v>45169.0</v>
      </c>
      <c r="I282" s="24">
        <v>32.0</v>
      </c>
      <c r="J282" s="25" t="s">
        <v>66</v>
      </c>
      <c r="K282" s="24">
        <v>69.0</v>
      </c>
      <c r="L282" s="25" t="s">
        <v>187</v>
      </c>
    </row>
    <row r="283" ht="15.75" customHeight="1">
      <c r="A283" s="27" t="s">
        <v>3786</v>
      </c>
      <c r="B283" s="27" t="s">
        <v>1134</v>
      </c>
      <c r="C283" s="27" t="s">
        <v>3507</v>
      </c>
      <c r="D283" s="27" t="s">
        <v>3481</v>
      </c>
      <c r="E283" s="27" t="s">
        <v>3508</v>
      </c>
      <c r="F283" s="27" t="s">
        <v>288</v>
      </c>
      <c r="G283" s="33">
        <v>45150.0</v>
      </c>
      <c r="H283" s="33">
        <v>45166.0</v>
      </c>
      <c r="I283" s="26">
        <v>4.0</v>
      </c>
      <c r="J283" s="27" t="s">
        <v>66</v>
      </c>
      <c r="K283" s="26">
        <v>69.0</v>
      </c>
      <c r="L283" s="27" t="s">
        <v>181</v>
      </c>
    </row>
    <row r="284" ht="15.75" customHeight="1">
      <c r="A284" s="25" t="s">
        <v>3787</v>
      </c>
      <c r="B284" s="25" t="s">
        <v>1134</v>
      </c>
      <c r="C284" s="25" t="s">
        <v>3484</v>
      </c>
      <c r="D284" s="25" t="s">
        <v>3485</v>
      </c>
      <c r="E284" s="25" t="s">
        <v>3486</v>
      </c>
      <c r="F284" s="25" t="s">
        <v>284</v>
      </c>
      <c r="G284" s="30">
        <v>45153.0</v>
      </c>
      <c r="H284" s="30">
        <v>45170.0</v>
      </c>
      <c r="I284" s="24">
        <v>4.0</v>
      </c>
      <c r="J284" s="25" t="s">
        <v>66</v>
      </c>
      <c r="K284" s="24">
        <v>80.0</v>
      </c>
      <c r="L284" s="25" t="s">
        <v>187</v>
      </c>
    </row>
    <row r="285" ht="15.75" customHeight="1">
      <c r="A285" s="27" t="s">
        <v>3788</v>
      </c>
      <c r="B285" s="27" t="s">
        <v>1141</v>
      </c>
      <c r="C285" s="27" t="s">
        <v>3496</v>
      </c>
      <c r="D285" s="27" t="s">
        <v>3485</v>
      </c>
      <c r="E285" s="27" t="s">
        <v>3486</v>
      </c>
      <c r="F285" s="27" t="s">
        <v>263</v>
      </c>
      <c r="G285" s="33">
        <v>44615.0</v>
      </c>
      <c r="H285" s="33">
        <v>44617.0</v>
      </c>
      <c r="I285" s="26">
        <v>4.0</v>
      </c>
      <c r="J285" s="27" t="s">
        <v>66</v>
      </c>
      <c r="K285" s="26">
        <v>76.0</v>
      </c>
      <c r="L285" s="27" t="s">
        <v>181</v>
      </c>
    </row>
    <row r="286" ht="15.75" customHeight="1">
      <c r="A286" s="25" t="s">
        <v>3789</v>
      </c>
      <c r="B286" s="25" t="s">
        <v>1141</v>
      </c>
      <c r="C286" s="25" t="s">
        <v>3538</v>
      </c>
      <c r="D286" s="25" t="s">
        <v>3485</v>
      </c>
      <c r="E286" s="25" t="s">
        <v>3486</v>
      </c>
      <c r="F286" s="25" t="s">
        <v>234</v>
      </c>
      <c r="G286" s="30">
        <v>45335.0</v>
      </c>
      <c r="H286" s="30">
        <v>45347.0</v>
      </c>
      <c r="I286" s="24">
        <v>4.0</v>
      </c>
      <c r="J286" s="25" t="s">
        <v>66</v>
      </c>
      <c r="K286" s="24">
        <v>83.0</v>
      </c>
      <c r="L286" s="25" t="s">
        <v>187</v>
      </c>
    </row>
    <row r="287" ht="15.75" customHeight="1">
      <c r="A287" s="27" t="s">
        <v>3790</v>
      </c>
      <c r="B287" s="27" t="s">
        <v>1141</v>
      </c>
      <c r="C287" s="27" t="s">
        <v>3517</v>
      </c>
      <c r="D287" s="27" t="s">
        <v>3481</v>
      </c>
      <c r="E287" s="27" t="s">
        <v>3518</v>
      </c>
      <c r="F287" s="27" t="s">
        <v>238</v>
      </c>
      <c r="G287" s="33">
        <v>45647.0</v>
      </c>
      <c r="H287" s="33">
        <v>45652.0</v>
      </c>
      <c r="I287" s="26">
        <v>32.0</v>
      </c>
      <c r="J287" s="27" t="s">
        <v>66</v>
      </c>
      <c r="K287" s="26">
        <v>67.0</v>
      </c>
      <c r="L287" s="27" t="s">
        <v>181</v>
      </c>
    </row>
    <row r="288" ht="15.75" customHeight="1">
      <c r="A288" s="25" t="s">
        <v>3791</v>
      </c>
      <c r="B288" s="25" t="s">
        <v>1141</v>
      </c>
      <c r="C288" s="25" t="s">
        <v>3547</v>
      </c>
      <c r="D288" s="25" t="s">
        <v>3485</v>
      </c>
      <c r="E288" s="25" t="s">
        <v>3486</v>
      </c>
      <c r="F288" s="25" t="s">
        <v>340</v>
      </c>
      <c r="G288" s="30">
        <v>45407.0</v>
      </c>
      <c r="H288" s="30">
        <v>45412.0</v>
      </c>
      <c r="I288" s="24">
        <v>32.0</v>
      </c>
      <c r="J288" s="25" t="s">
        <v>3497</v>
      </c>
      <c r="K288" s="25"/>
      <c r="L288" s="25" t="s">
        <v>181</v>
      </c>
    </row>
    <row r="289" ht="15.75" customHeight="1">
      <c r="A289" s="27" t="s">
        <v>3792</v>
      </c>
      <c r="B289" s="27" t="s">
        <v>1147</v>
      </c>
      <c r="C289" s="27" t="s">
        <v>3513</v>
      </c>
      <c r="D289" s="27" t="s">
        <v>3481</v>
      </c>
      <c r="E289" s="27" t="s">
        <v>3514</v>
      </c>
      <c r="F289" s="27" t="s">
        <v>313</v>
      </c>
      <c r="G289" s="33">
        <v>45311.0</v>
      </c>
      <c r="H289" s="33">
        <v>45321.0</v>
      </c>
      <c r="I289" s="26">
        <v>32.0</v>
      </c>
      <c r="J289" s="27" t="s">
        <v>3497</v>
      </c>
      <c r="K289" s="27"/>
      <c r="L289" s="27" t="s">
        <v>187</v>
      </c>
    </row>
    <row r="290" ht="15.75" customHeight="1">
      <c r="A290" s="25" t="s">
        <v>3793</v>
      </c>
      <c r="B290" s="25" t="s">
        <v>1147</v>
      </c>
      <c r="C290" s="25" t="s">
        <v>3504</v>
      </c>
      <c r="D290" s="25" t="s">
        <v>3481</v>
      </c>
      <c r="E290" s="25" t="s">
        <v>3505</v>
      </c>
      <c r="F290" s="25" t="s">
        <v>229</v>
      </c>
      <c r="G290" s="30">
        <v>44647.0</v>
      </c>
      <c r="H290" s="30">
        <v>44665.0</v>
      </c>
      <c r="I290" s="24">
        <v>40.0</v>
      </c>
      <c r="J290" s="25" t="s">
        <v>3497</v>
      </c>
      <c r="K290" s="25"/>
      <c r="L290" s="25" t="s">
        <v>187</v>
      </c>
    </row>
    <row r="291" ht="15.75" customHeight="1">
      <c r="A291" s="27" t="s">
        <v>3794</v>
      </c>
      <c r="B291" s="27" t="s">
        <v>1147</v>
      </c>
      <c r="C291" s="27" t="s">
        <v>3496</v>
      </c>
      <c r="D291" s="27" t="s">
        <v>3485</v>
      </c>
      <c r="E291" s="27" t="s">
        <v>3486</v>
      </c>
      <c r="F291" s="27" t="s">
        <v>263</v>
      </c>
      <c r="G291" s="33">
        <v>44670.0</v>
      </c>
      <c r="H291" s="33">
        <v>44684.0</v>
      </c>
      <c r="I291" s="26">
        <v>24.0</v>
      </c>
      <c r="J291" s="27" t="s">
        <v>66</v>
      </c>
      <c r="K291" s="26">
        <v>98.0</v>
      </c>
      <c r="L291" s="27" t="s">
        <v>187</v>
      </c>
    </row>
    <row r="292" ht="15.75" customHeight="1">
      <c r="A292" s="25" t="s">
        <v>3795</v>
      </c>
      <c r="B292" s="25" t="s">
        <v>1154</v>
      </c>
      <c r="C292" s="25" t="s">
        <v>3513</v>
      </c>
      <c r="D292" s="25" t="s">
        <v>3481</v>
      </c>
      <c r="E292" s="25" t="s">
        <v>3514</v>
      </c>
      <c r="F292" s="25" t="s">
        <v>313</v>
      </c>
      <c r="G292" s="30">
        <v>44940.0</v>
      </c>
      <c r="H292" s="30">
        <v>44945.0</v>
      </c>
      <c r="I292" s="24">
        <v>16.0</v>
      </c>
      <c r="J292" s="25" t="s">
        <v>66</v>
      </c>
      <c r="K292" s="24">
        <v>63.0</v>
      </c>
      <c r="L292" s="25" t="s">
        <v>181</v>
      </c>
    </row>
    <row r="293" ht="15.75" customHeight="1">
      <c r="A293" s="27" t="s">
        <v>3796</v>
      </c>
      <c r="B293" s="27" t="s">
        <v>1154</v>
      </c>
      <c r="C293" s="27" t="s">
        <v>3501</v>
      </c>
      <c r="D293" s="27" t="s">
        <v>3481</v>
      </c>
      <c r="E293" s="27" t="s">
        <v>3502</v>
      </c>
      <c r="F293" s="27" t="s">
        <v>266</v>
      </c>
      <c r="G293" s="33">
        <v>45364.0</v>
      </c>
      <c r="H293" s="33">
        <v>45373.0</v>
      </c>
      <c r="I293" s="26">
        <v>4.0</v>
      </c>
      <c r="J293" s="27" t="s">
        <v>3497</v>
      </c>
      <c r="K293" s="27"/>
      <c r="L293" s="27" t="s">
        <v>181</v>
      </c>
    </row>
    <row r="294" ht="15.75" customHeight="1">
      <c r="A294" s="25" t="s">
        <v>3797</v>
      </c>
      <c r="B294" s="25" t="s">
        <v>1154</v>
      </c>
      <c r="C294" s="25" t="s">
        <v>3496</v>
      </c>
      <c r="D294" s="25" t="s">
        <v>3485</v>
      </c>
      <c r="E294" s="25" t="s">
        <v>3486</v>
      </c>
      <c r="F294" s="25" t="s">
        <v>263</v>
      </c>
      <c r="G294" s="30">
        <v>45097.0</v>
      </c>
      <c r="H294" s="30">
        <v>45118.0</v>
      </c>
      <c r="I294" s="24">
        <v>40.0</v>
      </c>
      <c r="J294" s="25" t="s">
        <v>3497</v>
      </c>
      <c r="K294" s="25"/>
      <c r="L294" s="25" t="s">
        <v>181</v>
      </c>
    </row>
    <row r="295" ht="15.75" customHeight="1">
      <c r="A295" s="27" t="s">
        <v>3798</v>
      </c>
      <c r="B295" s="27" t="s">
        <v>1154</v>
      </c>
      <c r="C295" s="27" t="s">
        <v>3484</v>
      </c>
      <c r="D295" s="27" t="s">
        <v>3485</v>
      </c>
      <c r="E295" s="27" t="s">
        <v>3486</v>
      </c>
      <c r="F295" s="27" t="s">
        <v>284</v>
      </c>
      <c r="G295" s="33">
        <v>45532.0</v>
      </c>
      <c r="H295" s="33">
        <v>45548.0</v>
      </c>
      <c r="I295" s="26">
        <v>8.0</v>
      </c>
      <c r="J295" s="27" t="s">
        <v>3497</v>
      </c>
      <c r="K295" s="27"/>
      <c r="L295" s="27" t="s">
        <v>181</v>
      </c>
    </row>
    <row r="296" ht="15.75" customHeight="1">
      <c r="A296" s="25" t="s">
        <v>3799</v>
      </c>
      <c r="B296" s="25" t="s">
        <v>1154</v>
      </c>
      <c r="C296" s="25" t="s">
        <v>3538</v>
      </c>
      <c r="D296" s="25" t="s">
        <v>3485</v>
      </c>
      <c r="E296" s="25" t="s">
        <v>3486</v>
      </c>
      <c r="F296" s="25" t="s">
        <v>234</v>
      </c>
      <c r="G296" s="30">
        <v>45336.0</v>
      </c>
      <c r="H296" s="30">
        <v>45359.0</v>
      </c>
      <c r="I296" s="24">
        <v>32.0</v>
      </c>
      <c r="J296" s="25" t="s">
        <v>3497</v>
      </c>
      <c r="K296" s="25"/>
      <c r="L296" s="25" t="s">
        <v>181</v>
      </c>
    </row>
    <row r="297" ht="15.75" customHeight="1">
      <c r="A297" s="27" t="s">
        <v>3800</v>
      </c>
      <c r="B297" s="27" t="s">
        <v>1160</v>
      </c>
      <c r="C297" s="27" t="s">
        <v>3510</v>
      </c>
      <c r="D297" s="27" t="s">
        <v>3485</v>
      </c>
      <c r="E297" s="27" t="s">
        <v>3486</v>
      </c>
      <c r="F297" s="27" t="s">
        <v>329</v>
      </c>
      <c r="G297" s="33">
        <v>44696.0</v>
      </c>
      <c r="H297" s="33">
        <v>44701.0</v>
      </c>
      <c r="I297" s="26">
        <v>32.0</v>
      </c>
      <c r="J297" s="27" t="s">
        <v>66</v>
      </c>
      <c r="K297" s="26">
        <v>78.0</v>
      </c>
      <c r="L297" s="27" t="s">
        <v>181</v>
      </c>
    </row>
    <row r="298" ht="15.75" customHeight="1">
      <c r="A298" s="25" t="s">
        <v>3801</v>
      </c>
      <c r="B298" s="25" t="s">
        <v>1160</v>
      </c>
      <c r="C298" s="25" t="s">
        <v>3529</v>
      </c>
      <c r="D298" s="25" t="s">
        <v>3481</v>
      </c>
      <c r="E298" s="25" t="s">
        <v>3530</v>
      </c>
      <c r="F298" s="25" t="s">
        <v>333</v>
      </c>
      <c r="G298" s="30">
        <v>45630.0</v>
      </c>
      <c r="H298" s="30">
        <v>45649.0</v>
      </c>
      <c r="I298" s="24">
        <v>40.0</v>
      </c>
      <c r="J298" s="25" t="s">
        <v>66</v>
      </c>
      <c r="K298" s="24">
        <v>79.0</v>
      </c>
      <c r="L298" s="25" t="s">
        <v>187</v>
      </c>
    </row>
    <row r="299" ht="15.75" customHeight="1">
      <c r="A299" s="27" t="s">
        <v>3802</v>
      </c>
      <c r="B299" s="27" t="s">
        <v>1160</v>
      </c>
      <c r="C299" s="27" t="s">
        <v>3492</v>
      </c>
      <c r="D299" s="27" t="s">
        <v>3485</v>
      </c>
      <c r="E299" s="27" t="s">
        <v>3486</v>
      </c>
      <c r="F299" s="27" t="s">
        <v>234</v>
      </c>
      <c r="G299" s="33">
        <v>45171.0</v>
      </c>
      <c r="H299" s="33">
        <v>45177.0</v>
      </c>
      <c r="I299" s="26">
        <v>24.0</v>
      </c>
      <c r="J299" s="27" t="s">
        <v>66</v>
      </c>
      <c r="K299" s="26">
        <v>68.0</v>
      </c>
      <c r="L299" s="27" t="s">
        <v>187</v>
      </c>
    </row>
    <row r="300" ht="15.75" customHeight="1">
      <c r="A300" s="25" t="s">
        <v>3803</v>
      </c>
      <c r="B300" s="25" t="s">
        <v>1160</v>
      </c>
      <c r="C300" s="25" t="s">
        <v>3504</v>
      </c>
      <c r="D300" s="25" t="s">
        <v>3481</v>
      </c>
      <c r="E300" s="25" t="s">
        <v>3505</v>
      </c>
      <c r="F300" s="25" t="s">
        <v>229</v>
      </c>
      <c r="G300" s="30">
        <v>45644.0</v>
      </c>
      <c r="H300" s="30">
        <v>45658.0</v>
      </c>
      <c r="I300" s="24">
        <v>16.0</v>
      </c>
      <c r="J300" s="25" t="s">
        <v>66</v>
      </c>
      <c r="K300" s="24">
        <v>76.0</v>
      </c>
      <c r="L300" s="25" t="s">
        <v>181</v>
      </c>
    </row>
    <row r="301" ht="15.75" customHeight="1">
      <c r="A301" s="27" t="s">
        <v>3804</v>
      </c>
      <c r="B301" s="27" t="s">
        <v>1167</v>
      </c>
      <c r="C301" s="27" t="s">
        <v>3507</v>
      </c>
      <c r="D301" s="27" t="s">
        <v>3481</v>
      </c>
      <c r="E301" s="27" t="s">
        <v>3508</v>
      </c>
      <c r="F301" s="27" t="s">
        <v>288</v>
      </c>
      <c r="G301" s="33">
        <v>45360.0</v>
      </c>
      <c r="H301" s="33">
        <v>45366.0</v>
      </c>
      <c r="I301" s="26">
        <v>16.0</v>
      </c>
      <c r="J301" s="27" t="s">
        <v>66</v>
      </c>
      <c r="K301" s="26">
        <v>78.0</v>
      </c>
      <c r="L301" s="27" t="s">
        <v>181</v>
      </c>
    </row>
    <row r="302" ht="15.75" customHeight="1">
      <c r="A302" s="25" t="s">
        <v>3805</v>
      </c>
      <c r="B302" s="25" t="s">
        <v>1167</v>
      </c>
      <c r="C302" s="25" t="s">
        <v>3496</v>
      </c>
      <c r="D302" s="25" t="s">
        <v>3485</v>
      </c>
      <c r="E302" s="25" t="s">
        <v>3486</v>
      </c>
      <c r="F302" s="25" t="s">
        <v>263</v>
      </c>
      <c r="G302" s="30">
        <v>44944.0</v>
      </c>
      <c r="H302" s="30">
        <v>44957.0</v>
      </c>
      <c r="I302" s="24">
        <v>40.0</v>
      </c>
      <c r="J302" s="25" t="s">
        <v>3497</v>
      </c>
      <c r="K302" s="25"/>
      <c r="L302" s="25" t="s">
        <v>187</v>
      </c>
    </row>
    <row r="303" ht="15.75" customHeight="1">
      <c r="A303" s="27" t="s">
        <v>3806</v>
      </c>
      <c r="B303" s="27" t="s">
        <v>1167</v>
      </c>
      <c r="C303" s="27" t="s">
        <v>3517</v>
      </c>
      <c r="D303" s="27" t="s">
        <v>3481</v>
      </c>
      <c r="E303" s="27" t="s">
        <v>3518</v>
      </c>
      <c r="F303" s="27" t="s">
        <v>238</v>
      </c>
      <c r="G303" s="33">
        <v>45258.0</v>
      </c>
      <c r="H303" s="33">
        <v>45276.0</v>
      </c>
      <c r="I303" s="26">
        <v>16.0</v>
      </c>
      <c r="J303" s="27" t="s">
        <v>66</v>
      </c>
      <c r="K303" s="26">
        <v>72.0</v>
      </c>
      <c r="L303" s="27" t="s">
        <v>181</v>
      </c>
    </row>
    <row r="304" ht="15.75" customHeight="1">
      <c r="A304" s="25" t="s">
        <v>3807</v>
      </c>
      <c r="B304" s="25" t="s">
        <v>1167</v>
      </c>
      <c r="C304" s="25" t="s">
        <v>3510</v>
      </c>
      <c r="D304" s="25" t="s">
        <v>3485</v>
      </c>
      <c r="E304" s="25" t="s">
        <v>3486</v>
      </c>
      <c r="F304" s="25" t="s">
        <v>329</v>
      </c>
      <c r="G304" s="30">
        <v>44735.0</v>
      </c>
      <c r="H304" s="30">
        <v>44751.0</v>
      </c>
      <c r="I304" s="24">
        <v>24.0</v>
      </c>
      <c r="J304" s="25" t="s">
        <v>66</v>
      </c>
      <c r="K304" s="24">
        <v>77.0</v>
      </c>
      <c r="L304" s="25" t="s">
        <v>187</v>
      </c>
    </row>
    <row r="305" ht="15.75" customHeight="1">
      <c r="A305" s="27" t="s">
        <v>3808</v>
      </c>
      <c r="B305" s="27" t="s">
        <v>1174</v>
      </c>
      <c r="C305" s="27" t="s">
        <v>3484</v>
      </c>
      <c r="D305" s="27" t="s">
        <v>3485</v>
      </c>
      <c r="E305" s="27" t="s">
        <v>3486</v>
      </c>
      <c r="F305" s="27" t="s">
        <v>284</v>
      </c>
      <c r="G305" s="33">
        <v>44785.0</v>
      </c>
      <c r="H305" s="33">
        <v>44797.0</v>
      </c>
      <c r="I305" s="26">
        <v>40.0</v>
      </c>
      <c r="J305" s="27" t="s">
        <v>66</v>
      </c>
      <c r="K305" s="26">
        <v>92.0</v>
      </c>
      <c r="L305" s="27" t="s">
        <v>181</v>
      </c>
    </row>
    <row r="306" ht="15.75" customHeight="1">
      <c r="A306" s="25" t="s">
        <v>3809</v>
      </c>
      <c r="B306" s="25" t="s">
        <v>1174</v>
      </c>
      <c r="C306" s="25" t="s">
        <v>3538</v>
      </c>
      <c r="D306" s="25" t="s">
        <v>3485</v>
      </c>
      <c r="E306" s="25" t="s">
        <v>3486</v>
      </c>
      <c r="F306" s="25" t="s">
        <v>234</v>
      </c>
      <c r="G306" s="30">
        <v>45126.0</v>
      </c>
      <c r="H306" s="30">
        <v>45137.0</v>
      </c>
      <c r="I306" s="24">
        <v>8.0</v>
      </c>
      <c r="J306" s="25" t="s">
        <v>3497</v>
      </c>
      <c r="K306" s="25"/>
      <c r="L306" s="25" t="s">
        <v>187</v>
      </c>
    </row>
    <row r="307" ht="15.75" customHeight="1">
      <c r="A307" s="27" t="s">
        <v>3810</v>
      </c>
      <c r="B307" s="27" t="s">
        <v>1174</v>
      </c>
      <c r="C307" s="27" t="s">
        <v>3501</v>
      </c>
      <c r="D307" s="27" t="s">
        <v>3481</v>
      </c>
      <c r="E307" s="27" t="s">
        <v>3502</v>
      </c>
      <c r="F307" s="27" t="s">
        <v>266</v>
      </c>
      <c r="G307" s="33">
        <v>44688.0</v>
      </c>
      <c r="H307" s="33">
        <v>44710.0</v>
      </c>
      <c r="I307" s="26">
        <v>4.0</v>
      </c>
      <c r="J307" s="27" t="s">
        <v>66</v>
      </c>
      <c r="K307" s="26">
        <v>78.0</v>
      </c>
      <c r="L307" s="27" t="s">
        <v>181</v>
      </c>
    </row>
    <row r="308" ht="15.75" customHeight="1">
      <c r="A308" s="25" t="s">
        <v>3811</v>
      </c>
      <c r="B308" s="25" t="s">
        <v>1174</v>
      </c>
      <c r="C308" s="25" t="s">
        <v>3496</v>
      </c>
      <c r="D308" s="25" t="s">
        <v>3485</v>
      </c>
      <c r="E308" s="25" t="s">
        <v>3486</v>
      </c>
      <c r="F308" s="25" t="s">
        <v>263</v>
      </c>
      <c r="G308" s="30">
        <v>45158.0</v>
      </c>
      <c r="H308" s="30">
        <v>45166.0</v>
      </c>
      <c r="I308" s="24">
        <v>8.0</v>
      </c>
      <c r="J308" s="25" t="s">
        <v>66</v>
      </c>
      <c r="K308" s="24">
        <v>73.0</v>
      </c>
      <c r="L308" s="25" t="s">
        <v>187</v>
      </c>
    </row>
    <row r="309" ht="15.75" customHeight="1">
      <c r="A309" s="27" t="s">
        <v>3812</v>
      </c>
      <c r="B309" s="27" t="s">
        <v>1174</v>
      </c>
      <c r="C309" s="27" t="s">
        <v>3529</v>
      </c>
      <c r="D309" s="27" t="s">
        <v>3481</v>
      </c>
      <c r="E309" s="27" t="s">
        <v>3530</v>
      </c>
      <c r="F309" s="27" t="s">
        <v>333</v>
      </c>
      <c r="G309" s="33">
        <v>44959.0</v>
      </c>
      <c r="H309" s="33">
        <v>44986.0</v>
      </c>
      <c r="I309" s="26">
        <v>32.0</v>
      </c>
      <c r="J309" s="27" t="s">
        <v>66</v>
      </c>
      <c r="K309" s="26">
        <v>80.0</v>
      </c>
      <c r="L309" s="27" t="s">
        <v>181</v>
      </c>
    </row>
    <row r="310" ht="15.75" customHeight="1">
      <c r="A310" s="25" t="s">
        <v>3813</v>
      </c>
      <c r="B310" s="25" t="s">
        <v>1180</v>
      </c>
      <c r="C310" s="25" t="s">
        <v>3489</v>
      </c>
      <c r="D310" s="25" t="s">
        <v>3485</v>
      </c>
      <c r="E310" s="25" t="s">
        <v>3486</v>
      </c>
      <c r="F310" s="25" t="s">
        <v>336</v>
      </c>
      <c r="G310" s="30">
        <v>44746.0</v>
      </c>
      <c r="H310" s="30">
        <v>44750.0</v>
      </c>
      <c r="I310" s="24">
        <v>24.0</v>
      </c>
      <c r="J310" s="25" t="s">
        <v>3497</v>
      </c>
      <c r="K310" s="25"/>
      <c r="L310" s="25" t="s">
        <v>187</v>
      </c>
    </row>
    <row r="311" ht="15.75" customHeight="1">
      <c r="A311" s="27" t="s">
        <v>3814</v>
      </c>
      <c r="B311" s="27" t="s">
        <v>1180</v>
      </c>
      <c r="C311" s="27" t="s">
        <v>3529</v>
      </c>
      <c r="D311" s="27" t="s">
        <v>3481</v>
      </c>
      <c r="E311" s="27" t="s">
        <v>3530</v>
      </c>
      <c r="F311" s="27" t="s">
        <v>333</v>
      </c>
      <c r="G311" s="33">
        <v>44815.0</v>
      </c>
      <c r="H311" s="33">
        <v>44833.0</v>
      </c>
      <c r="I311" s="26">
        <v>8.0</v>
      </c>
      <c r="J311" s="27" t="s">
        <v>66</v>
      </c>
      <c r="K311" s="26">
        <v>75.0</v>
      </c>
      <c r="L311" s="27" t="s">
        <v>181</v>
      </c>
    </row>
    <row r="312" ht="15.75" customHeight="1">
      <c r="A312" s="25" t="s">
        <v>3815</v>
      </c>
      <c r="B312" s="25" t="s">
        <v>1180</v>
      </c>
      <c r="C312" s="25" t="s">
        <v>3492</v>
      </c>
      <c r="D312" s="25" t="s">
        <v>3485</v>
      </c>
      <c r="E312" s="25" t="s">
        <v>3486</v>
      </c>
      <c r="F312" s="25" t="s">
        <v>234</v>
      </c>
      <c r="G312" s="30">
        <v>44967.0</v>
      </c>
      <c r="H312" s="30">
        <v>44983.0</v>
      </c>
      <c r="I312" s="24">
        <v>24.0</v>
      </c>
      <c r="J312" s="25" t="s">
        <v>66</v>
      </c>
      <c r="K312" s="24">
        <v>80.0</v>
      </c>
      <c r="L312" s="25" t="s">
        <v>181</v>
      </c>
    </row>
    <row r="313" ht="15.75" customHeight="1">
      <c r="A313" s="27" t="s">
        <v>3816</v>
      </c>
      <c r="B313" s="27" t="s">
        <v>1180</v>
      </c>
      <c r="C313" s="27" t="s">
        <v>3480</v>
      </c>
      <c r="D313" s="27" t="s">
        <v>3481</v>
      </c>
      <c r="E313" s="27" t="s">
        <v>3482</v>
      </c>
      <c r="F313" s="27" t="s">
        <v>246</v>
      </c>
      <c r="G313" s="33">
        <v>44642.0</v>
      </c>
      <c r="H313" s="33">
        <v>44671.0</v>
      </c>
      <c r="I313" s="26">
        <v>4.0</v>
      </c>
      <c r="J313" s="27" t="s">
        <v>66</v>
      </c>
      <c r="K313" s="26">
        <v>64.0</v>
      </c>
      <c r="L313" s="27" t="s">
        <v>181</v>
      </c>
    </row>
    <row r="314" ht="15.75" customHeight="1">
      <c r="A314" s="25" t="s">
        <v>3817</v>
      </c>
      <c r="B314" s="25" t="s">
        <v>1187</v>
      </c>
      <c r="C314" s="25" t="s">
        <v>3501</v>
      </c>
      <c r="D314" s="25" t="s">
        <v>3481</v>
      </c>
      <c r="E314" s="25" t="s">
        <v>3502</v>
      </c>
      <c r="F314" s="25" t="s">
        <v>266</v>
      </c>
      <c r="G314" s="30">
        <v>44757.0</v>
      </c>
      <c r="H314" s="30">
        <v>44772.0</v>
      </c>
      <c r="I314" s="24">
        <v>24.0</v>
      </c>
      <c r="J314" s="25" t="s">
        <v>3487</v>
      </c>
      <c r="K314" s="25"/>
      <c r="L314" s="25" t="s">
        <v>181</v>
      </c>
    </row>
    <row r="315" ht="15.75" customHeight="1">
      <c r="A315" s="27" t="s">
        <v>3818</v>
      </c>
      <c r="B315" s="27" t="s">
        <v>1187</v>
      </c>
      <c r="C315" s="27" t="s">
        <v>3538</v>
      </c>
      <c r="D315" s="27" t="s">
        <v>3485</v>
      </c>
      <c r="E315" s="27" t="s">
        <v>3486</v>
      </c>
      <c r="F315" s="27" t="s">
        <v>234</v>
      </c>
      <c r="G315" s="33">
        <v>44583.0</v>
      </c>
      <c r="H315" s="33">
        <v>44613.0</v>
      </c>
      <c r="I315" s="26">
        <v>4.0</v>
      </c>
      <c r="J315" s="27" t="s">
        <v>66</v>
      </c>
      <c r="K315" s="26">
        <v>61.0</v>
      </c>
      <c r="L315" s="27" t="s">
        <v>181</v>
      </c>
    </row>
    <row r="316" ht="15.75" customHeight="1">
      <c r="A316" s="25" t="s">
        <v>3819</v>
      </c>
      <c r="B316" s="25" t="s">
        <v>1187</v>
      </c>
      <c r="C316" s="25" t="s">
        <v>3547</v>
      </c>
      <c r="D316" s="25" t="s">
        <v>3485</v>
      </c>
      <c r="E316" s="25" t="s">
        <v>3486</v>
      </c>
      <c r="F316" s="25" t="s">
        <v>340</v>
      </c>
      <c r="G316" s="30">
        <v>45247.0</v>
      </c>
      <c r="H316" s="30">
        <v>45272.0</v>
      </c>
      <c r="I316" s="24">
        <v>32.0</v>
      </c>
      <c r="J316" s="25" t="s">
        <v>66</v>
      </c>
      <c r="K316" s="24">
        <v>68.0</v>
      </c>
      <c r="L316" s="25" t="s">
        <v>181</v>
      </c>
    </row>
    <row r="317" ht="15.75" customHeight="1">
      <c r="A317" s="27" t="s">
        <v>3820</v>
      </c>
      <c r="B317" s="27" t="s">
        <v>1187</v>
      </c>
      <c r="C317" s="27" t="s">
        <v>3513</v>
      </c>
      <c r="D317" s="27" t="s">
        <v>3481</v>
      </c>
      <c r="E317" s="27" t="s">
        <v>3514</v>
      </c>
      <c r="F317" s="27" t="s">
        <v>313</v>
      </c>
      <c r="G317" s="33">
        <v>45062.0</v>
      </c>
      <c r="H317" s="33">
        <v>45085.0</v>
      </c>
      <c r="I317" s="26">
        <v>24.0</v>
      </c>
      <c r="J317" s="27" t="s">
        <v>66</v>
      </c>
      <c r="K317" s="26">
        <v>100.0</v>
      </c>
      <c r="L317" s="27" t="s">
        <v>187</v>
      </c>
    </row>
    <row r="318" ht="15.75" customHeight="1">
      <c r="A318" s="25" t="s">
        <v>3821</v>
      </c>
      <c r="B318" s="25" t="s">
        <v>1187</v>
      </c>
      <c r="C318" s="25" t="s">
        <v>3517</v>
      </c>
      <c r="D318" s="25" t="s">
        <v>3481</v>
      </c>
      <c r="E318" s="25" t="s">
        <v>3518</v>
      </c>
      <c r="F318" s="25" t="s">
        <v>238</v>
      </c>
      <c r="G318" s="30">
        <v>45102.0</v>
      </c>
      <c r="H318" s="30">
        <v>45126.0</v>
      </c>
      <c r="I318" s="24">
        <v>32.0</v>
      </c>
      <c r="J318" s="25" t="s">
        <v>66</v>
      </c>
      <c r="K318" s="24">
        <v>67.0</v>
      </c>
      <c r="L318" s="25" t="s">
        <v>187</v>
      </c>
    </row>
    <row r="319" ht="15.75" customHeight="1">
      <c r="A319" s="27" t="s">
        <v>3822</v>
      </c>
      <c r="B319" s="27" t="s">
        <v>1193</v>
      </c>
      <c r="C319" s="27" t="s">
        <v>3484</v>
      </c>
      <c r="D319" s="27" t="s">
        <v>3485</v>
      </c>
      <c r="E319" s="27" t="s">
        <v>3486</v>
      </c>
      <c r="F319" s="27" t="s">
        <v>284</v>
      </c>
      <c r="G319" s="33">
        <v>44999.0</v>
      </c>
      <c r="H319" s="33">
        <v>45012.0</v>
      </c>
      <c r="I319" s="26">
        <v>16.0</v>
      </c>
      <c r="J319" s="27" t="s">
        <v>66</v>
      </c>
      <c r="K319" s="26">
        <v>68.0</v>
      </c>
      <c r="L319" s="27" t="s">
        <v>181</v>
      </c>
    </row>
    <row r="320" ht="15.75" customHeight="1">
      <c r="A320" s="25" t="s">
        <v>3823</v>
      </c>
      <c r="B320" s="25" t="s">
        <v>1200</v>
      </c>
      <c r="C320" s="25" t="s">
        <v>3510</v>
      </c>
      <c r="D320" s="25" t="s">
        <v>3485</v>
      </c>
      <c r="E320" s="25" t="s">
        <v>3486</v>
      </c>
      <c r="F320" s="25" t="s">
        <v>329</v>
      </c>
      <c r="G320" s="30">
        <v>44707.0</v>
      </c>
      <c r="H320" s="30">
        <v>44733.0</v>
      </c>
      <c r="I320" s="24">
        <v>32.0</v>
      </c>
      <c r="J320" s="25" t="s">
        <v>66</v>
      </c>
      <c r="K320" s="24">
        <v>100.0</v>
      </c>
      <c r="L320" s="25" t="s">
        <v>187</v>
      </c>
    </row>
    <row r="321" ht="15.75" customHeight="1">
      <c r="A321" s="27" t="s">
        <v>3824</v>
      </c>
      <c r="B321" s="27" t="s">
        <v>1207</v>
      </c>
      <c r="C321" s="27" t="s">
        <v>3538</v>
      </c>
      <c r="D321" s="27" t="s">
        <v>3485</v>
      </c>
      <c r="E321" s="27" t="s">
        <v>3486</v>
      </c>
      <c r="F321" s="27" t="s">
        <v>234</v>
      </c>
      <c r="G321" s="33">
        <v>45160.0</v>
      </c>
      <c r="H321" s="33">
        <v>45168.0</v>
      </c>
      <c r="I321" s="26">
        <v>32.0</v>
      </c>
      <c r="J321" s="27" t="s">
        <v>66</v>
      </c>
      <c r="K321" s="26">
        <v>90.0</v>
      </c>
      <c r="L321" s="27" t="s">
        <v>187</v>
      </c>
    </row>
    <row r="322" ht="15.75" customHeight="1">
      <c r="A322" s="25" t="s">
        <v>3825</v>
      </c>
      <c r="B322" s="25" t="s">
        <v>1213</v>
      </c>
      <c r="C322" s="25" t="s">
        <v>3484</v>
      </c>
      <c r="D322" s="25" t="s">
        <v>3485</v>
      </c>
      <c r="E322" s="25" t="s">
        <v>3486</v>
      </c>
      <c r="F322" s="25" t="s">
        <v>284</v>
      </c>
      <c r="G322" s="30">
        <v>44847.0</v>
      </c>
      <c r="H322" s="30">
        <v>44872.0</v>
      </c>
      <c r="I322" s="24">
        <v>8.0</v>
      </c>
      <c r="J322" s="25" t="s">
        <v>3487</v>
      </c>
      <c r="K322" s="25"/>
      <c r="L322" s="25" t="s">
        <v>181</v>
      </c>
    </row>
    <row r="323" ht="15.75" customHeight="1">
      <c r="A323" s="27" t="s">
        <v>3826</v>
      </c>
      <c r="B323" s="27" t="s">
        <v>1219</v>
      </c>
      <c r="C323" s="27" t="s">
        <v>3529</v>
      </c>
      <c r="D323" s="27" t="s">
        <v>3481</v>
      </c>
      <c r="E323" s="27" t="s">
        <v>3530</v>
      </c>
      <c r="F323" s="27" t="s">
        <v>333</v>
      </c>
      <c r="G323" s="33">
        <v>45597.0</v>
      </c>
      <c r="H323" s="33">
        <v>45602.0</v>
      </c>
      <c r="I323" s="26">
        <v>24.0</v>
      </c>
      <c r="J323" s="27" t="s">
        <v>66</v>
      </c>
      <c r="K323" s="26">
        <v>77.0</v>
      </c>
      <c r="L323" s="27" t="s">
        <v>187</v>
      </c>
    </row>
    <row r="324" ht="15.75" customHeight="1">
      <c r="A324" s="25" t="s">
        <v>3827</v>
      </c>
      <c r="B324" s="25" t="s">
        <v>1219</v>
      </c>
      <c r="C324" s="25" t="s">
        <v>3484</v>
      </c>
      <c r="D324" s="25" t="s">
        <v>3485</v>
      </c>
      <c r="E324" s="25" t="s">
        <v>3486</v>
      </c>
      <c r="F324" s="25" t="s">
        <v>284</v>
      </c>
      <c r="G324" s="30">
        <v>45253.0</v>
      </c>
      <c r="H324" s="30">
        <v>45267.0</v>
      </c>
      <c r="I324" s="24">
        <v>16.0</v>
      </c>
      <c r="J324" s="25" t="s">
        <v>66</v>
      </c>
      <c r="K324" s="24">
        <v>62.0</v>
      </c>
      <c r="L324" s="25" t="s">
        <v>187</v>
      </c>
    </row>
    <row r="325" ht="15.75" customHeight="1">
      <c r="A325" s="27" t="s">
        <v>3828</v>
      </c>
      <c r="B325" s="27" t="s">
        <v>1225</v>
      </c>
      <c r="C325" s="27" t="s">
        <v>3538</v>
      </c>
      <c r="D325" s="27" t="s">
        <v>3485</v>
      </c>
      <c r="E325" s="27" t="s">
        <v>3486</v>
      </c>
      <c r="F325" s="27" t="s">
        <v>234</v>
      </c>
      <c r="G325" s="33">
        <v>45396.0</v>
      </c>
      <c r="H325" s="33">
        <v>45420.0</v>
      </c>
      <c r="I325" s="26">
        <v>16.0</v>
      </c>
      <c r="J325" s="27" t="s">
        <v>66</v>
      </c>
      <c r="K325" s="26">
        <v>100.0</v>
      </c>
      <c r="L325" s="27" t="s">
        <v>181</v>
      </c>
    </row>
    <row r="326" ht="15.75" customHeight="1">
      <c r="A326" s="25" t="s">
        <v>3829</v>
      </c>
      <c r="B326" s="25" t="s">
        <v>1225</v>
      </c>
      <c r="C326" s="25" t="s">
        <v>3507</v>
      </c>
      <c r="D326" s="25" t="s">
        <v>3481</v>
      </c>
      <c r="E326" s="25" t="s">
        <v>3508</v>
      </c>
      <c r="F326" s="25" t="s">
        <v>288</v>
      </c>
      <c r="G326" s="30">
        <v>45253.0</v>
      </c>
      <c r="H326" s="30">
        <v>45261.0</v>
      </c>
      <c r="I326" s="24">
        <v>24.0</v>
      </c>
      <c r="J326" s="25" t="s">
        <v>66</v>
      </c>
      <c r="K326" s="24">
        <v>87.0</v>
      </c>
      <c r="L326" s="25" t="s">
        <v>187</v>
      </c>
    </row>
    <row r="327" ht="15.75" customHeight="1">
      <c r="A327" s="27" t="s">
        <v>3830</v>
      </c>
      <c r="B327" s="27" t="s">
        <v>1231</v>
      </c>
      <c r="C327" s="27" t="s">
        <v>3538</v>
      </c>
      <c r="D327" s="27" t="s">
        <v>3485</v>
      </c>
      <c r="E327" s="27" t="s">
        <v>3486</v>
      </c>
      <c r="F327" s="27" t="s">
        <v>234</v>
      </c>
      <c r="G327" s="33">
        <v>44758.0</v>
      </c>
      <c r="H327" s="33">
        <v>44762.0</v>
      </c>
      <c r="I327" s="26">
        <v>24.0</v>
      </c>
      <c r="J327" s="27" t="s">
        <v>3497</v>
      </c>
      <c r="K327" s="27"/>
      <c r="L327" s="27" t="s">
        <v>181</v>
      </c>
    </row>
    <row r="328" ht="15.75" customHeight="1">
      <c r="A328" s="25" t="s">
        <v>3831</v>
      </c>
      <c r="B328" s="25" t="s">
        <v>1237</v>
      </c>
      <c r="C328" s="25" t="s">
        <v>3529</v>
      </c>
      <c r="D328" s="25" t="s">
        <v>3481</v>
      </c>
      <c r="E328" s="25" t="s">
        <v>3530</v>
      </c>
      <c r="F328" s="25" t="s">
        <v>333</v>
      </c>
      <c r="G328" s="30">
        <v>44675.0</v>
      </c>
      <c r="H328" s="30">
        <v>44692.0</v>
      </c>
      <c r="I328" s="24">
        <v>16.0</v>
      </c>
      <c r="J328" s="25" t="s">
        <v>3497</v>
      </c>
      <c r="K328" s="25"/>
      <c r="L328" s="25" t="s">
        <v>187</v>
      </c>
    </row>
    <row r="329" ht="15.75" customHeight="1">
      <c r="A329" s="27" t="s">
        <v>3832</v>
      </c>
      <c r="B329" s="27" t="s">
        <v>1243</v>
      </c>
      <c r="C329" s="27" t="s">
        <v>3484</v>
      </c>
      <c r="D329" s="27" t="s">
        <v>3485</v>
      </c>
      <c r="E329" s="27" t="s">
        <v>3486</v>
      </c>
      <c r="F329" s="27" t="s">
        <v>284</v>
      </c>
      <c r="G329" s="33">
        <v>44877.0</v>
      </c>
      <c r="H329" s="33">
        <v>44899.0</v>
      </c>
      <c r="I329" s="26">
        <v>16.0</v>
      </c>
      <c r="J329" s="27" t="s">
        <v>66</v>
      </c>
      <c r="K329" s="26">
        <v>73.0</v>
      </c>
      <c r="L329" s="27" t="s">
        <v>181</v>
      </c>
    </row>
    <row r="330" ht="15.75" customHeight="1">
      <c r="A330" s="25" t="s">
        <v>3833</v>
      </c>
      <c r="B330" s="25" t="s">
        <v>1243</v>
      </c>
      <c r="C330" s="25" t="s">
        <v>3480</v>
      </c>
      <c r="D330" s="25" t="s">
        <v>3481</v>
      </c>
      <c r="E330" s="25" t="s">
        <v>3482</v>
      </c>
      <c r="F330" s="25" t="s">
        <v>246</v>
      </c>
      <c r="G330" s="30">
        <v>44921.0</v>
      </c>
      <c r="H330" s="30">
        <v>44946.0</v>
      </c>
      <c r="I330" s="24">
        <v>16.0</v>
      </c>
      <c r="J330" s="25" t="s">
        <v>66</v>
      </c>
      <c r="K330" s="24">
        <v>82.0</v>
      </c>
      <c r="L330" s="25" t="s">
        <v>181</v>
      </c>
    </row>
    <row r="331" ht="15.75" customHeight="1">
      <c r="A331" s="27" t="s">
        <v>3834</v>
      </c>
      <c r="B331" s="27" t="s">
        <v>1243</v>
      </c>
      <c r="C331" s="27" t="s">
        <v>3496</v>
      </c>
      <c r="D331" s="27" t="s">
        <v>3485</v>
      </c>
      <c r="E331" s="27" t="s">
        <v>3486</v>
      </c>
      <c r="F331" s="27" t="s">
        <v>263</v>
      </c>
      <c r="G331" s="33">
        <v>45442.0</v>
      </c>
      <c r="H331" s="33">
        <v>45459.0</v>
      </c>
      <c r="I331" s="26">
        <v>24.0</v>
      </c>
      <c r="J331" s="27" t="s">
        <v>66</v>
      </c>
      <c r="K331" s="26">
        <v>96.0</v>
      </c>
      <c r="L331" s="27" t="s">
        <v>181</v>
      </c>
    </row>
    <row r="332" ht="15.75" customHeight="1">
      <c r="A332" s="25" t="s">
        <v>3835</v>
      </c>
      <c r="B332" s="25" t="s">
        <v>1243</v>
      </c>
      <c r="C332" s="25" t="s">
        <v>3517</v>
      </c>
      <c r="D332" s="25" t="s">
        <v>3481</v>
      </c>
      <c r="E332" s="25" t="s">
        <v>3518</v>
      </c>
      <c r="F332" s="25" t="s">
        <v>238</v>
      </c>
      <c r="G332" s="30">
        <v>45556.0</v>
      </c>
      <c r="H332" s="30">
        <v>45577.0</v>
      </c>
      <c r="I332" s="24">
        <v>24.0</v>
      </c>
      <c r="J332" s="25" t="s">
        <v>3497</v>
      </c>
      <c r="K332" s="25"/>
      <c r="L332" s="25" t="s">
        <v>181</v>
      </c>
    </row>
    <row r="333" ht="15.75" customHeight="1">
      <c r="A333" s="27" t="s">
        <v>3836</v>
      </c>
      <c r="B333" s="27" t="s">
        <v>1250</v>
      </c>
      <c r="C333" s="27" t="s">
        <v>3529</v>
      </c>
      <c r="D333" s="27" t="s">
        <v>3481</v>
      </c>
      <c r="E333" s="27" t="s">
        <v>3530</v>
      </c>
      <c r="F333" s="27" t="s">
        <v>333</v>
      </c>
      <c r="G333" s="33">
        <v>44799.0</v>
      </c>
      <c r="H333" s="33">
        <v>44807.0</v>
      </c>
      <c r="I333" s="26">
        <v>32.0</v>
      </c>
      <c r="J333" s="27" t="s">
        <v>66</v>
      </c>
      <c r="K333" s="26">
        <v>60.0</v>
      </c>
      <c r="L333" s="27" t="s">
        <v>187</v>
      </c>
    </row>
    <row r="334" ht="15.75" customHeight="1">
      <c r="A334" s="25" t="s">
        <v>3837</v>
      </c>
      <c r="B334" s="25" t="s">
        <v>1250</v>
      </c>
      <c r="C334" s="25" t="s">
        <v>3538</v>
      </c>
      <c r="D334" s="25" t="s">
        <v>3485</v>
      </c>
      <c r="E334" s="25" t="s">
        <v>3486</v>
      </c>
      <c r="F334" s="25" t="s">
        <v>234</v>
      </c>
      <c r="G334" s="30">
        <v>44959.0</v>
      </c>
      <c r="H334" s="30">
        <v>44970.0</v>
      </c>
      <c r="I334" s="24">
        <v>24.0</v>
      </c>
      <c r="J334" s="25" t="s">
        <v>66</v>
      </c>
      <c r="K334" s="24">
        <v>95.0</v>
      </c>
      <c r="L334" s="25" t="s">
        <v>181</v>
      </c>
    </row>
    <row r="335" ht="15.75" customHeight="1">
      <c r="A335" s="27" t="s">
        <v>3838</v>
      </c>
      <c r="B335" s="27" t="s">
        <v>1250</v>
      </c>
      <c r="C335" s="27" t="s">
        <v>3510</v>
      </c>
      <c r="D335" s="27" t="s">
        <v>3485</v>
      </c>
      <c r="E335" s="27" t="s">
        <v>3486</v>
      </c>
      <c r="F335" s="27" t="s">
        <v>329</v>
      </c>
      <c r="G335" s="33">
        <v>45396.0</v>
      </c>
      <c r="H335" s="33">
        <v>45398.0</v>
      </c>
      <c r="I335" s="26">
        <v>40.0</v>
      </c>
      <c r="J335" s="27" t="s">
        <v>66</v>
      </c>
      <c r="K335" s="26">
        <v>83.0</v>
      </c>
      <c r="L335" s="27" t="s">
        <v>181</v>
      </c>
    </row>
    <row r="336" ht="15.75" customHeight="1">
      <c r="A336" s="25" t="s">
        <v>3839</v>
      </c>
      <c r="B336" s="25" t="s">
        <v>1250</v>
      </c>
      <c r="C336" s="25" t="s">
        <v>3489</v>
      </c>
      <c r="D336" s="25" t="s">
        <v>3485</v>
      </c>
      <c r="E336" s="25" t="s">
        <v>3486</v>
      </c>
      <c r="F336" s="25" t="s">
        <v>336</v>
      </c>
      <c r="G336" s="30">
        <v>44671.0</v>
      </c>
      <c r="H336" s="30">
        <v>44675.0</v>
      </c>
      <c r="I336" s="24">
        <v>24.0</v>
      </c>
      <c r="J336" s="25" t="s">
        <v>66</v>
      </c>
      <c r="K336" s="24">
        <v>61.0</v>
      </c>
      <c r="L336" s="25" t="s">
        <v>181</v>
      </c>
    </row>
    <row r="337" ht="15.75" customHeight="1">
      <c r="A337" s="27" t="s">
        <v>3840</v>
      </c>
      <c r="B337" s="27" t="s">
        <v>1250</v>
      </c>
      <c r="C337" s="27" t="s">
        <v>3496</v>
      </c>
      <c r="D337" s="27" t="s">
        <v>3485</v>
      </c>
      <c r="E337" s="27" t="s">
        <v>3486</v>
      </c>
      <c r="F337" s="27" t="s">
        <v>263</v>
      </c>
      <c r="G337" s="33">
        <v>45601.0</v>
      </c>
      <c r="H337" s="33">
        <v>45613.0</v>
      </c>
      <c r="I337" s="26">
        <v>32.0</v>
      </c>
      <c r="J337" s="27" t="s">
        <v>3487</v>
      </c>
      <c r="K337" s="27"/>
      <c r="L337" s="27" t="s">
        <v>181</v>
      </c>
    </row>
    <row r="338" ht="15.75" customHeight="1">
      <c r="A338" s="25" t="s">
        <v>3841</v>
      </c>
      <c r="B338" s="25" t="s">
        <v>1256</v>
      </c>
      <c r="C338" s="25" t="s">
        <v>3510</v>
      </c>
      <c r="D338" s="25" t="s">
        <v>3485</v>
      </c>
      <c r="E338" s="25" t="s">
        <v>3486</v>
      </c>
      <c r="F338" s="25" t="s">
        <v>329</v>
      </c>
      <c r="G338" s="30">
        <v>44594.0</v>
      </c>
      <c r="H338" s="30">
        <v>44617.0</v>
      </c>
      <c r="I338" s="24">
        <v>16.0</v>
      </c>
      <c r="J338" s="25" t="s">
        <v>3487</v>
      </c>
      <c r="K338" s="25"/>
      <c r="L338" s="25" t="s">
        <v>181</v>
      </c>
    </row>
    <row r="339" ht="15.75" customHeight="1">
      <c r="A339" s="27" t="s">
        <v>3842</v>
      </c>
      <c r="B339" s="27" t="s">
        <v>1256</v>
      </c>
      <c r="C339" s="27" t="s">
        <v>3484</v>
      </c>
      <c r="D339" s="27" t="s">
        <v>3485</v>
      </c>
      <c r="E339" s="27" t="s">
        <v>3486</v>
      </c>
      <c r="F339" s="27" t="s">
        <v>284</v>
      </c>
      <c r="G339" s="33">
        <v>45387.0</v>
      </c>
      <c r="H339" s="33">
        <v>45412.0</v>
      </c>
      <c r="I339" s="26">
        <v>32.0</v>
      </c>
      <c r="J339" s="27" t="s">
        <v>66</v>
      </c>
      <c r="K339" s="26">
        <v>99.0</v>
      </c>
      <c r="L339" s="27" t="s">
        <v>187</v>
      </c>
    </row>
    <row r="340" ht="15.75" customHeight="1">
      <c r="A340" s="25" t="s">
        <v>3843</v>
      </c>
      <c r="B340" s="25" t="s">
        <v>1256</v>
      </c>
      <c r="C340" s="25" t="s">
        <v>3492</v>
      </c>
      <c r="D340" s="25" t="s">
        <v>3485</v>
      </c>
      <c r="E340" s="25" t="s">
        <v>3486</v>
      </c>
      <c r="F340" s="25" t="s">
        <v>234</v>
      </c>
      <c r="G340" s="30">
        <v>45331.0</v>
      </c>
      <c r="H340" s="30">
        <v>45359.0</v>
      </c>
      <c r="I340" s="24">
        <v>16.0</v>
      </c>
      <c r="J340" s="25" t="s">
        <v>3497</v>
      </c>
      <c r="K340" s="25"/>
      <c r="L340" s="25" t="s">
        <v>187</v>
      </c>
    </row>
    <row r="341" ht="15.75" customHeight="1">
      <c r="A341" s="27" t="s">
        <v>3844</v>
      </c>
      <c r="B341" s="27" t="s">
        <v>1262</v>
      </c>
      <c r="C341" s="27" t="s">
        <v>3538</v>
      </c>
      <c r="D341" s="27" t="s">
        <v>3485</v>
      </c>
      <c r="E341" s="27" t="s">
        <v>3486</v>
      </c>
      <c r="F341" s="27" t="s">
        <v>234</v>
      </c>
      <c r="G341" s="33">
        <v>45167.0</v>
      </c>
      <c r="H341" s="33">
        <v>45172.0</v>
      </c>
      <c r="I341" s="26">
        <v>16.0</v>
      </c>
      <c r="J341" s="27" t="s">
        <v>66</v>
      </c>
      <c r="K341" s="26">
        <v>97.0</v>
      </c>
      <c r="L341" s="27" t="s">
        <v>187</v>
      </c>
    </row>
    <row r="342" ht="15.75" customHeight="1">
      <c r="A342" s="25" t="s">
        <v>3845</v>
      </c>
      <c r="B342" s="25" t="s">
        <v>1268</v>
      </c>
      <c r="C342" s="25" t="s">
        <v>3529</v>
      </c>
      <c r="D342" s="25" t="s">
        <v>3481</v>
      </c>
      <c r="E342" s="25" t="s">
        <v>3530</v>
      </c>
      <c r="F342" s="25" t="s">
        <v>333</v>
      </c>
      <c r="G342" s="30">
        <v>45164.0</v>
      </c>
      <c r="H342" s="30">
        <v>45165.0</v>
      </c>
      <c r="I342" s="24">
        <v>16.0</v>
      </c>
      <c r="J342" s="25" t="s">
        <v>3497</v>
      </c>
      <c r="K342" s="25"/>
      <c r="L342" s="25" t="s">
        <v>181</v>
      </c>
    </row>
    <row r="343" ht="15.75" customHeight="1">
      <c r="A343" s="27" t="s">
        <v>3846</v>
      </c>
      <c r="B343" s="27" t="s">
        <v>1268</v>
      </c>
      <c r="C343" s="27" t="s">
        <v>3492</v>
      </c>
      <c r="D343" s="27" t="s">
        <v>3485</v>
      </c>
      <c r="E343" s="27" t="s">
        <v>3486</v>
      </c>
      <c r="F343" s="27" t="s">
        <v>234</v>
      </c>
      <c r="G343" s="33">
        <v>44920.0</v>
      </c>
      <c r="H343" s="33">
        <v>44949.0</v>
      </c>
      <c r="I343" s="26">
        <v>8.0</v>
      </c>
      <c r="J343" s="27" t="s">
        <v>66</v>
      </c>
      <c r="K343" s="26">
        <v>74.0</v>
      </c>
      <c r="L343" s="27" t="s">
        <v>187</v>
      </c>
    </row>
    <row r="344" ht="15.75" customHeight="1">
      <c r="A344" s="25" t="s">
        <v>3847</v>
      </c>
      <c r="B344" s="25" t="s">
        <v>1268</v>
      </c>
      <c r="C344" s="25" t="s">
        <v>3513</v>
      </c>
      <c r="D344" s="25" t="s">
        <v>3481</v>
      </c>
      <c r="E344" s="25" t="s">
        <v>3514</v>
      </c>
      <c r="F344" s="25" t="s">
        <v>313</v>
      </c>
      <c r="G344" s="30">
        <v>44851.0</v>
      </c>
      <c r="H344" s="30">
        <v>44876.0</v>
      </c>
      <c r="I344" s="24">
        <v>24.0</v>
      </c>
      <c r="J344" s="25" t="s">
        <v>3487</v>
      </c>
      <c r="K344" s="25"/>
      <c r="L344" s="25" t="s">
        <v>181</v>
      </c>
    </row>
    <row r="345" ht="15.75" customHeight="1">
      <c r="A345" s="27" t="s">
        <v>3848</v>
      </c>
      <c r="B345" s="27" t="s">
        <v>1268</v>
      </c>
      <c r="C345" s="27" t="s">
        <v>3484</v>
      </c>
      <c r="D345" s="27" t="s">
        <v>3485</v>
      </c>
      <c r="E345" s="27" t="s">
        <v>3486</v>
      </c>
      <c r="F345" s="27" t="s">
        <v>284</v>
      </c>
      <c r="G345" s="33">
        <v>45397.0</v>
      </c>
      <c r="H345" s="33">
        <v>45417.0</v>
      </c>
      <c r="I345" s="26">
        <v>32.0</v>
      </c>
      <c r="J345" s="27" t="s">
        <v>66</v>
      </c>
      <c r="K345" s="26">
        <v>90.0</v>
      </c>
      <c r="L345" s="27" t="s">
        <v>181</v>
      </c>
    </row>
    <row r="346" ht="15.75" customHeight="1">
      <c r="A346" s="25" t="s">
        <v>3849</v>
      </c>
      <c r="B346" s="25" t="s">
        <v>1268</v>
      </c>
      <c r="C346" s="25" t="s">
        <v>3480</v>
      </c>
      <c r="D346" s="25" t="s">
        <v>3481</v>
      </c>
      <c r="E346" s="25" t="s">
        <v>3482</v>
      </c>
      <c r="F346" s="25" t="s">
        <v>246</v>
      </c>
      <c r="G346" s="30">
        <v>45377.0</v>
      </c>
      <c r="H346" s="30">
        <v>45398.0</v>
      </c>
      <c r="I346" s="24">
        <v>24.0</v>
      </c>
      <c r="J346" s="25" t="s">
        <v>66</v>
      </c>
      <c r="K346" s="24">
        <v>61.0</v>
      </c>
      <c r="L346" s="25" t="s">
        <v>187</v>
      </c>
    </row>
    <row r="347" ht="15.75" customHeight="1">
      <c r="A347" s="27" t="s">
        <v>3850</v>
      </c>
      <c r="B347" s="27" t="s">
        <v>1275</v>
      </c>
      <c r="C347" s="27" t="s">
        <v>3489</v>
      </c>
      <c r="D347" s="27" t="s">
        <v>3485</v>
      </c>
      <c r="E347" s="27" t="s">
        <v>3486</v>
      </c>
      <c r="F347" s="27" t="s">
        <v>336</v>
      </c>
      <c r="G347" s="33">
        <v>45195.0</v>
      </c>
      <c r="H347" s="33">
        <v>45213.0</v>
      </c>
      <c r="I347" s="26">
        <v>40.0</v>
      </c>
      <c r="J347" s="27" t="s">
        <v>3487</v>
      </c>
      <c r="K347" s="27"/>
      <c r="L347" s="27" t="s">
        <v>181</v>
      </c>
    </row>
    <row r="348" ht="15.75" customHeight="1">
      <c r="A348" s="25" t="s">
        <v>3851</v>
      </c>
      <c r="B348" s="25" t="s">
        <v>1275</v>
      </c>
      <c r="C348" s="25" t="s">
        <v>3529</v>
      </c>
      <c r="D348" s="25" t="s">
        <v>3481</v>
      </c>
      <c r="E348" s="25" t="s">
        <v>3530</v>
      </c>
      <c r="F348" s="25" t="s">
        <v>333</v>
      </c>
      <c r="G348" s="30">
        <v>45626.0</v>
      </c>
      <c r="H348" s="30">
        <v>45646.0</v>
      </c>
      <c r="I348" s="24">
        <v>40.0</v>
      </c>
      <c r="J348" s="25" t="s">
        <v>66</v>
      </c>
      <c r="K348" s="24">
        <v>98.0</v>
      </c>
      <c r="L348" s="25" t="s">
        <v>187</v>
      </c>
    </row>
    <row r="349" ht="15.75" customHeight="1">
      <c r="A349" s="27" t="s">
        <v>3852</v>
      </c>
      <c r="B349" s="27" t="s">
        <v>1281</v>
      </c>
      <c r="C349" s="27" t="s">
        <v>3538</v>
      </c>
      <c r="D349" s="27" t="s">
        <v>3485</v>
      </c>
      <c r="E349" s="27" t="s">
        <v>3486</v>
      </c>
      <c r="F349" s="27" t="s">
        <v>234</v>
      </c>
      <c r="G349" s="33">
        <v>44597.0</v>
      </c>
      <c r="H349" s="33">
        <v>44624.0</v>
      </c>
      <c r="I349" s="26">
        <v>16.0</v>
      </c>
      <c r="J349" s="27" t="s">
        <v>3497</v>
      </c>
      <c r="K349" s="27"/>
      <c r="L349" s="27" t="s">
        <v>181</v>
      </c>
    </row>
    <row r="350" ht="15.75" customHeight="1">
      <c r="A350" s="25" t="s">
        <v>3853</v>
      </c>
      <c r="B350" s="25" t="s">
        <v>1281</v>
      </c>
      <c r="C350" s="25" t="s">
        <v>3492</v>
      </c>
      <c r="D350" s="25" t="s">
        <v>3485</v>
      </c>
      <c r="E350" s="25" t="s">
        <v>3486</v>
      </c>
      <c r="F350" s="25" t="s">
        <v>234</v>
      </c>
      <c r="G350" s="30">
        <v>45267.0</v>
      </c>
      <c r="H350" s="30">
        <v>45281.0</v>
      </c>
      <c r="I350" s="24">
        <v>4.0</v>
      </c>
      <c r="J350" s="25" t="s">
        <v>3497</v>
      </c>
      <c r="K350" s="25"/>
      <c r="L350" s="25" t="s">
        <v>181</v>
      </c>
    </row>
    <row r="351" ht="15.75" customHeight="1">
      <c r="A351" s="27" t="s">
        <v>3854</v>
      </c>
      <c r="B351" s="27" t="s">
        <v>1287</v>
      </c>
      <c r="C351" s="27" t="s">
        <v>3484</v>
      </c>
      <c r="D351" s="27" t="s">
        <v>3485</v>
      </c>
      <c r="E351" s="27" t="s">
        <v>3486</v>
      </c>
      <c r="F351" s="27" t="s">
        <v>284</v>
      </c>
      <c r="G351" s="33">
        <v>44863.0</v>
      </c>
      <c r="H351" s="33">
        <v>44876.0</v>
      </c>
      <c r="I351" s="26">
        <v>16.0</v>
      </c>
      <c r="J351" s="27" t="s">
        <v>66</v>
      </c>
      <c r="K351" s="26">
        <v>94.0</v>
      </c>
      <c r="L351" s="27" t="s">
        <v>181</v>
      </c>
    </row>
    <row r="352" ht="15.75" customHeight="1">
      <c r="A352" s="25" t="s">
        <v>3855</v>
      </c>
      <c r="B352" s="25" t="s">
        <v>1287</v>
      </c>
      <c r="C352" s="25" t="s">
        <v>3517</v>
      </c>
      <c r="D352" s="25" t="s">
        <v>3481</v>
      </c>
      <c r="E352" s="25" t="s">
        <v>3518</v>
      </c>
      <c r="F352" s="25" t="s">
        <v>238</v>
      </c>
      <c r="G352" s="30">
        <v>45451.0</v>
      </c>
      <c r="H352" s="30">
        <v>45473.0</v>
      </c>
      <c r="I352" s="24">
        <v>32.0</v>
      </c>
      <c r="J352" s="25" t="s">
        <v>66</v>
      </c>
      <c r="K352" s="24">
        <v>84.0</v>
      </c>
      <c r="L352" s="25" t="s">
        <v>187</v>
      </c>
    </row>
    <row r="353" ht="15.75" customHeight="1">
      <c r="A353" s="27" t="s">
        <v>3856</v>
      </c>
      <c r="B353" s="27" t="s">
        <v>1287</v>
      </c>
      <c r="C353" s="27" t="s">
        <v>3513</v>
      </c>
      <c r="D353" s="27" t="s">
        <v>3481</v>
      </c>
      <c r="E353" s="27" t="s">
        <v>3514</v>
      </c>
      <c r="F353" s="27" t="s">
        <v>313</v>
      </c>
      <c r="G353" s="33">
        <v>45267.0</v>
      </c>
      <c r="H353" s="33">
        <v>45281.0</v>
      </c>
      <c r="I353" s="26">
        <v>8.0</v>
      </c>
      <c r="J353" s="27" t="s">
        <v>66</v>
      </c>
      <c r="K353" s="26">
        <v>60.0</v>
      </c>
      <c r="L353" s="27" t="s">
        <v>187</v>
      </c>
    </row>
    <row r="354" ht="15.75" customHeight="1">
      <c r="A354" s="25" t="s">
        <v>3857</v>
      </c>
      <c r="B354" s="25" t="s">
        <v>1287</v>
      </c>
      <c r="C354" s="25" t="s">
        <v>3496</v>
      </c>
      <c r="D354" s="25" t="s">
        <v>3485</v>
      </c>
      <c r="E354" s="25" t="s">
        <v>3486</v>
      </c>
      <c r="F354" s="25" t="s">
        <v>263</v>
      </c>
      <c r="G354" s="30">
        <v>45434.0</v>
      </c>
      <c r="H354" s="30">
        <v>45438.0</v>
      </c>
      <c r="I354" s="24">
        <v>40.0</v>
      </c>
      <c r="J354" s="25" t="s">
        <v>66</v>
      </c>
      <c r="K354" s="24">
        <v>69.0</v>
      </c>
      <c r="L354" s="25" t="s">
        <v>181</v>
      </c>
    </row>
    <row r="355" ht="15.75" customHeight="1">
      <c r="A355" s="27" t="s">
        <v>3858</v>
      </c>
      <c r="B355" s="27" t="s">
        <v>1287</v>
      </c>
      <c r="C355" s="27" t="s">
        <v>3538</v>
      </c>
      <c r="D355" s="27" t="s">
        <v>3485</v>
      </c>
      <c r="E355" s="27" t="s">
        <v>3486</v>
      </c>
      <c r="F355" s="27" t="s">
        <v>234</v>
      </c>
      <c r="G355" s="33">
        <v>45644.0</v>
      </c>
      <c r="H355" s="33">
        <v>45655.0</v>
      </c>
      <c r="I355" s="26">
        <v>4.0</v>
      </c>
      <c r="J355" s="27" t="s">
        <v>66</v>
      </c>
      <c r="K355" s="26">
        <v>76.0</v>
      </c>
      <c r="L355" s="27" t="s">
        <v>181</v>
      </c>
    </row>
    <row r="356" ht="15.75" customHeight="1">
      <c r="A356" s="25" t="s">
        <v>3859</v>
      </c>
      <c r="B356" s="25" t="s">
        <v>1293</v>
      </c>
      <c r="C356" s="25" t="s">
        <v>3517</v>
      </c>
      <c r="D356" s="25" t="s">
        <v>3481</v>
      </c>
      <c r="E356" s="25" t="s">
        <v>3518</v>
      </c>
      <c r="F356" s="25" t="s">
        <v>238</v>
      </c>
      <c r="G356" s="30">
        <v>45054.0</v>
      </c>
      <c r="H356" s="30">
        <v>45073.0</v>
      </c>
      <c r="I356" s="24">
        <v>16.0</v>
      </c>
      <c r="J356" s="25" t="s">
        <v>3497</v>
      </c>
      <c r="K356" s="25"/>
      <c r="L356" s="25" t="s">
        <v>187</v>
      </c>
    </row>
    <row r="357" ht="15.75" customHeight="1">
      <c r="A357" s="27" t="s">
        <v>3860</v>
      </c>
      <c r="B357" s="27" t="s">
        <v>1293</v>
      </c>
      <c r="C357" s="27" t="s">
        <v>3538</v>
      </c>
      <c r="D357" s="27" t="s">
        <v>3485</v>
      </c>
      <c r="E357" s="27" t="s">
        <v>3486</v>
      </c>
      <c r="F357" s="27" t="s">
        <v>234</v>
      </c>
      <c r="G357" s="33">
        <v>44645.0</v>
      </c>
      <c r="H357" s="33">
        <v>44673.0</v>
      </c>
      <c r="I357" s="26">
        <v>8.0</v>
      </c>
      <c r="J357" s="27" t="s">
        <v>66</v>
      </c>
      <c r="K357" s="26">
        <v>90.0</v>
      </c>
      <c r="L357" s="27" t="s">
        <v>181</v>
      </c>
    </row>
    <row r="358" ht="15.75" customHeight="1">
      <c r="A358" s="25" t="s">
        <v>3861</v>
      </c>
      <c r="B358" s="25" t="s">
        <v>1293</v>
      </c>
      <c r="C358" s="25" t="s">
        <v>3492</v>
      </c>
      <c r="D358" s="25" t="s">
        <v>3485</v>
      </c>
      <c r="E358" s="25" t="s">
        <v>3486</v>
      </c>
      <c r="F358" s="25" t="s">
        <v>234</v>
      </c>
      <c r="G358" s="30">
        <v>44564.0</v>
      </c>
      <c r="H358" s="30">
        <v>44565.0</v>
      </c>
      <c r="I358" s="24">
        <v>32.0</v>
      </c>
      <c r="J358" s="25" t="s">
        <v>66</v>
      </c>
      <c r="K358" s="24">
        <v>87.0</v>
      </c>
      <c r="L358" s="25" t="s">
        <v>187</v>
      </c>
    </row>
    <row r="359" ht="15.75" customHeight="1">
      <c r="A359" s="27" t="s">
        <v>3862</v>
      </c>
      <c r="B359" s="27" t="s">
        <v>1300</v>
      </c>
      <c r="C359" s="27" t="s">
        <v>3480</v>
      </c>
      <c r="D359" s="27" t="s">
        <v>3481</v>
      </c>
      <c r="E359" s="27" t="s">
        <v>3482</v>
      </c>
      <c r="F359" s="27" t="s">
        <v>246</v>
      </c>
      <c r="G359" s="33">
        <v>45593.0</v>
      </c>
      <c r="H359" s="33">
        <v>45600.0</v>
      </c>
      <c r="I359" s="26">
        <v>40.0</v>
      </c>
      <c r="J359" s="27" t="s">
        <v>66</v>
      </c>
      <c r="K359" s="26">
        <v>72.0</v>
      </c>
      <c r="L359" s="27" t="s">
        <v>187</v>
      </c>
    </row>
    <row r="360" ht="15.75" customHeight="1">
      <c r="A360" s="25" t="s">
        <v>3863</v>
      </c>
      <c r="B360" s="25" t="s">
        <v>1300</v>
      </c>
      <c r="C360" s="25" t="s">
        <v>3496</v>
      </c>
      <c r="D360" s="25" t="s">
        <v>3485</v>
      </c>
      <c r="E360" s="25" t="s">
        <v>3486</v>
      </c>
      <c r="F360" s="25" t="s">
        <v>263</v>
      </c>
      <c r="G360" s="30">
        <v>44614.0</v>
      </c>
      <c r="H360" s="30">
        <v>44616.0</v>
      </c>
      <c r="I360" s="24">
        <v>24.0</v>
      </c>
      <c r="J360" s="25" t="s">
        <v>3487</v>
      </c>
      <c r="K360" s="25"/>
      <c r="L360" s="25" t="s">
        <v>181</v>
      </c>
    </row>
    <row r="361" ht="15.75" customHeight="1">
      <c r="A361" s="27" t="s">
        <v>3864</v>
      </c>
      <c r="B361" s="27" t="s">
        <v>1300</v>
      </c>
      <c r="C361" s="27" t="s">
        <v>3507</v>
      </c>
      <c r="D361" s="27" t="s">
        <v>3481</v>
      </c>
      <c r="E361" s="27" t="s">
        <v>3508</v>
      </c>
      <c r="F361" s="27" t="s">
        <v>288</v>
      </c>
      <c r="G361" s="33">
        <v>45133.0</v>
      </c>
      <c r="H361" s="33">
        <v>45136.0</v>
      </c>
      <c r="I361" s="26">
        <v>32.0</v>
      </c>
      <c r="J361" s="27" t="s">
        <v>66</v>
      </c>
      <c r="K361" s="26">
        <v>64.0</v>
      </c>
      <c r="L361" s="27" t="s">
        <v>187</v>
      </c>
    </row>
    <row r="362" ht="15.75" customHeight="1">
      <c r="A362" s="25" t="s">
        <v>3865</v>
      </c>
      <c r="B362" s="25" t="s">
        <v>1300</v>
      </c>
      <c r="C362" s="25" t="s">
        <v>3517</v>
      </c>
      <c r="D362" s="25" t="s">
        <v>3481</v>
      </c>
      <c r="E362" s="25" t="s">
        <v>3518</v>
      </c>
      <c r="F362" s="25" t="s">
        <v>238</v>
      </c>
      <c r="G362" s="30">
        <v>44673.0</v>
      </c>
      <c r="H362" s="30">
        <v>44688.0</v>
      </c>
      <c r="I362" s="24">
        <v>8.0</v>
      </c>
      <c r="J362" s="25" t="s">
        <v>66</v>
      </c>
      <c r="K362" s="24">
        <v>100.0</v>
      </c>
      <c r="L362" s="25" t="s">
        <v>181</v>
      </c>
    </row>
    <row r="363" ht="15.75" customHeight="1">
      <c r="A363" s="27" t="s">
        <v>3866</v>
      </c>
      <c r="B363" s="27" t="s">
        <v>1306</v>
      </c>
      <c r="C363" s="27" t="s">
        <v>3547</v>
      </c>
      <c r="D363" s="27" t="s">
        <v>3485</v>
      </c>
      <c r="E363" s="27" t="s">
        <v>3486</v>
      </c>
      <c r="F363" s="27" t="s">
        <v>340</v>
      </c>
      <c r="G363" s="33">
        <v>44665.0</v>
      </c>
      <c r="H363" s="33">
        <v>44689.0</v>
      </c>
      <c r="I363" s="26">
        <v>40.0</v>
      </c>
      <c r="J363" s="27" t="s">
        <v>66</v>
      </c>
      <c r="K363" s="26">
        <v>77.0</v>
      </c>
      <c r="L363" s="27" t="s">
        <v>187</v>
      </c>
    </row>
    <row r="364" ht="15.75" customHeight="1">
      <c r="A364" s="25" t="s">
        <v>3867</v>
      </c>
      <c r="B364" s="25" t="s">
        <v>1306</v>
      </c>
      <c r="C364" s="25" t="s">
        <v>3504</v>
      </c>
      <c r="D364" s="25" t="s">
        <v>3481</v>
      </c>
      <c r="E364" s="25" t="s">
        <v>3505</v>
      </c>
      <c r="F364" s="25" t="s">
        <v>229</v>
      </c>
      <c r="G364" s="30">
        <v>44596.0</v>
      </c>
      <c r="H364" s="30">
        <v>44625.0</v>
      </c>
      <c r="I364" s="24">
        <v>24.0</v>
      </c>
      <c r="J364" s="25" t="s">
        <v>66</v>
      </c>
      <c r="K364" s="24">
        <v>98.0</v>
      </c>
      <c r="L364" s="25" t="s">
        <v>187</v>
      </c>
    </row>
    <row r="365" ht="15.75" customHeight="1">
      <c r="A365" s="27" t="s">
        <v>3868</v>
      </c>
      <c r="B365" s="27" t="s">
        <v>1306</v>
      </c>
      <c r="C365" s="27" t="s">
        <v>3517</v>
      </c>
      <c r="D365" s="27" t="s">
        <v>3481</v>
      </c>
      <c r="E365" s="27" t="s">
        <v>3518</v>
      </c>
      <c r="F365" s="27" t="s">
        <v>238</v>
      </c>
      <c r="G365" s="33">
        <v>45362.0</v>
      </c>
      <c r="H365" s="33">
        <v>45368.0</v>
      </c>
      <c r="I365" s="26">
        <v>24.0</v>
      </c>
      <c r="J365" s="27" t="s">
        <v>66</v>
      </c>
      <c r="K365" s="26">
        <v>68.0</v>
      </c>
      <c r="L365" s="27" t="s">
        <v>187</v>
      </c>
    </row>
    <row r="366" ht="15.75" customHeight="1">
      <c r="A366" s="25" t="s">
        <v>3869</v>
      </c>
      <c r="B366" s="25" t="s">
        <v>1306</v>
      </c>
      <c r="C366" s="25" t="s">
        <v>3501</v>
      </c>
      <c r="D366" s="25" t="s">
        <v>3481</v>
      </c>
      <c r="E366" s="25" t="s">
        <v>3502</v>
      </c>
      <c r="F366" s="25" t="s">
        <v>266</v>
      </c>
      <c r="G366" s="30">
        <v>45405.0</v>
      </c>
      <c r="H366" s="30">
        <v>45427.0</v>
      </c>
      <c r="I366" s="24">
        <v>8.0</v>
      </c>
      <c r="J366" s="25" t="s">
        <v>66</v>
      </c>
      <c r="K366" s="24">
        <v>82.0</v>
      </c>
      <c r="L366" s="25" t="s">
        <v>181</v>
      </c>
    </row>
    <row r="367" ht="15.75" customHeight="1">
      <c r="A367" s="27" t="s">
        <v>3870</v>
      </c>
      <c r="B367" s="27" t="s">
        <v>1306</v>
      </c>
      <c r="C367" s="27" t="s">
        <v>3492</v>
      </c>
      <c r="D367" s="27" t="s">
        <v>3485</v>
      </c>
      <c r="E367" s="27" t="s">
        <v>3486</v>
      </c>
      <c r="F367" s="27" t="s">
        <v>234</v>
      </c>
      <c r="G367" s="33">
        <v>44750.0</v>
      </c>
      <c r="H367" s="33">
        <v>44774.0</v>
      </c>
      <c r="I367" s="26">
        <v>40.0</v>
      </c>
      <c r="J367" s="27" t="s">
        <v>3497</v>
      </c>
      <c r="K367" s="27"/>
      <c r="L367" s="27" t="s">
        <v>187</v>
      </c>
    </row>
    <row r="368" ht="15.75" customHeight="1">
      <c r="A368" s="25" t="s">
        <v>3871</v>
      </c>
      <c r="B368" s="25" t="s">
        <v>1312</v>
      </c>
      <c r="C368" s="25" t="s">
        <v>3496</v>
      </c>
      <c r="D368" s="25" t="s">
        <v>3485</v>
      </c>
      <c r="E368" s="25" t="s">
        <v>3486</v>
      </c>
      <c r="F368" s="25" t="s">
        <v>263</v>
      </c>
      <c r="G368" s="30">
        <v>44698.0</v>
      </c>
      <c r="H368" s="30">
        <v>44723.0</v>
      </c>
      <c r="I368" s="24">
        <v>4.0</v>
      </c>
      <c r="J368" s="25" t="s">
        <v>3497</v>
      </c>
      <c r="K368" s="25"/>
      <c r="L368" s="25" t="s">
        <v>187</v>
      </c>
    </row>
    <row r="369" ht="15.75" customHeight="1">
      <c r="A369" s="27" t="s">
        <v>3872</v>
      </c>
      <c r="B369" s="27" t="s">
        <v>1312</v>
      </c>
      <c r="C369" s="27" t="s">
        <v>3492</v>
      </c>
      <c r="D369" s="27" t="s">
        <v>3485</v>
      </c>
      <c r="E369" s="27" t="s">
        <v>3486</v>
      </c>
      <c r="F369" s="27" t="s">
        <v>234</v>
      </c>
      <c r="G369" s="33">
        <v>45635.0</v>
      </c>
      <c r="H369" s="33">
        <v>45657.0</v>
      </c>
      <c r="I369" s="26">
        <v>4.0</v>
      </c>
      <c r="J369" s="27" t="s">
        <v>66</v>
      </c>
      <c r="K369" s="26">
        <v>72.0</v>
      </c>
      <c r="L369" s="27" t="s">
        <v>181</v>
      </c>
    </row>
    <row r="370" ht="15.75" customHeight="1">
      <c r="A370" s="25" t="s">
        <v>3873</v>
      </c>
      <c r="B370" s="25" t="s">
        <v>1312</v>
      </c>
      <c r="C370" s="25" t="s">
        <v>3484</v>
      </c>
      <c r="D370" s="25" t="s">
        <v>3485</v>
      </c>
      <c r="E370" s="25" t="s">
        <v>3486</v>
      </c>
      <c r="F370" s="25" t="s">
        <v>284</v>
      </c>
      <c r="G370" s="30">
        <v>44977.0</v>
      </c>
      <c r="H370" s="30">
        <v>44992.0</v>
      </c>
      <c r="I370" s="24">
        <v>8.0</v>
      </c>
      <c r="J370" s="25" t="s">
        <v>66</v>
      </c>
      <c r="K370" s="24">
        <v>80.0</v>
      </c>
      <c r="L370" s="25" t="s">
        <v>187</v>
      </c>
    </row>
    <row r="371" ht="15.75" customHeight="1">
      <c r="A371" s="27" t="s">
        <v>3874</v>
      </c>
      <c r="B371" s="27" t="s">
        <v>1312</v>
      </c>
      <c r="C371" s="27" t="s">
        <v>3489</v>
      </c>
      <c r="D371" s="27" t="s">
        <v>3485</v>
      </c>
      <c r="E371" s="27" t="s">
        <v>3486</v>
      </c>
      <c r="F371" s="27" t="s">
        <v>336</v>
      </c>
      <c r="G371" s="33">
        <v>44912.0</v>
      </c>
      <c r="H371" s="33">
        <v>44919.0</v>
      </c>
      <c r="I371" s="26">
        <v>24.0</v>
      </c>
      <c r="J371" s="27" t="s">
        <v>66</v>
      </c>
      <c r="K371" s="26">
        <v>66.0</v>
      </c>
      <c r="L371" s="27" t="s">
        <v>187</v>
      </c>
    </row>
    <row r="372" ht="15.75" customHeight="1">
      <c r="A372" s="25" t="s">
        <v>3875</v>
      </c>
      <c r="B372" s="25" t="s">
        <v>1318</v>
      </c>
      <c r="C372" s="25" t="s">
        <v>3480</v>
      </c>
      <c r="D372" s="25" t="s">
        <v>3481</v>
      </c>
      <c r="E372" s="25" t="s">
        <v>3482</v>
      </c>
      <c r="F372" s="25" t="s">
        <v>246</v>
      </c>
      <c r="G372" s="30">
        <v>44770.0</v>
      </c>
      <c r="H372" s="30">
        <v>44773.0</v>
      </c>
      <c r="I372" s="24">
        <v>4.0</v>
      </c>
      <c r="J372" s="25" t="s">
        <v>66</v>
      </c>
      <c r="K372" s="24">
        <v>84.0</v>
      </c>
      <c r="L372" s="25" t="s">
        <v>181</v>
      </c>
    </row>
    <row r="373" ht="15.75" customHeight="1">
      <c r="A373" s="27" t="s">
        <v>3876</v>
      </c>
      <c r="B373" s="27" t="s">
        <v>1318</v>
      </c>
      <c r="C373" s="27" t="s">
        <v>3547</v>
      </c>
      <c r="D373" s="27" t="s">
        <v>3485</v>
      </c>
      <c r="E373" s="27" t="s">
        <v>3486</v>
      </c>
      <c r="F373" s="27" t="s">
        <v>340</v>
      </c>
      <c r="G373" s="33">
        <v>45010.0</v>
      </c>
      <c r="H373" s="33">
        <v>45035.0</v>
      </c>
      <c r="I373" s="26">
        <v>32.0</v>
      </c>
      <c r="J373" s="27" t="s">
        <v>66</v>
      </c>
      <c r="K373" s="26">
        <v>80.0</v>
      </c>
      <c r="L373" s="27" t="s">
        <v>181</v>
      </c>
    </row>
    <row r="374" ht="15.75" customHeight="1">
      <c r="A374" s="25" t="s">
        <v>3877</v>
      </c>
      <c r="B374" s="25" t="s">
        <v>1318</v>
      </c>
      <c r="C374" s="25" t="s">
        <v>3496</v>
      </c>
      <c r="D374" s="25" t="s">
        <v>3485</v>
      </c>
      <c r="E374" s="25" t="s">
        <v>3486</v>
      </c>
      <c r="F374" s="25" t="s">
        <v>263</v>
      </c>
      <c r="G374" s="30">
        <v>45519.0</v>
      </c>
      <c r="H374" s="30">
        <v>45535.0</v>
      </c>
      <c r="I374" s="24">
        <v>16.0</v>
      </c>
      <c r="J374" s="25" t="s">
        <v>66</v>
      </c>
      <c r="K374" s="24">
        <v>84.0</v>
      </c>
      <c r="L374" s="25" t="s">
        <v>181</v>
      </c>
    </row>
    <row r="375" ht="15.75" customHeight="1">
      <c r="A375" s="27" t="s">
        <v>3878</v>
      </c>
      <c r="B375" s="27" t="s">
        <v>1318</v>
      </c>
      <c r="C375" s="27" t="s">
        <v>3529</v>
      </c>
      <c r="D375" s="27" t="s">
        <v>3481</v>
      </c>
      <c r="E375" s="27" t="s">
        <v>3530</v>
      </c>
      <c r="F375" s="27" t="s">
        <v>333</v>
      </c>
      <c r="G375" s="33">
        <v>44951.0</v>
      </c>
      <c r="H375" s="33">
        <v>44958.0</v>
      </c>
      <c r="I375" s="26">
        <v>40.0</v>
      </c>
      <c r="J375" s="27" t="s">
        <v>66</v>
      </c>
      <c r="K375" s="26">
        <v>94.0</v>
      </c>
      <c r="L375" s="27" t="s">
        <v>187</v>
      </c>
    </row>
    <row r="376" ht="15.75" customHeight="1">
      <c r="A376" s="25" t="s">
        <v>3879</v>
      </c>
      <c r="B376" s="25" t="s">
        <v>1318</v>
      </c>
      <c r="C376" s="25" t="s">
        <v>3492</v>
      </c>
      <c r="D376" s="25" t="s">
        <v>3485</v>
      </c>
      <c r="E376" s="25" t="s">
        <v>3486</v>
      </c>
      <c r="F376" s="25" t="s">
        <v>234</v>
      </c>
      <c r="G376" s="30">
        <v>45190.0</v>
      </c>
      <c r="H376" s="30">
        <v>45199.0</v>
      </c>
      <c r="I376" s="24">
        <v>40.0</v>
      </c>
      <c r="J376" s="25" t="s">
        <v>66</v>
      </c>
      <c r="K376" s="24">
        <v>70.0</v>
      </c>
      <c r="L376" s="25" t="s">
        <v>187</v>
      </c>
    </row>
    <row r="377" ht="15.75" customHeight="1">
      <c r="A377" s="27" t="s">
        <v>3880</v>
      </c>
      <c r="B377" s="27" t="s">
        <v>1324</v>
      </c>
      <c r="C377" s="27" t="s">
        <v>3492</v>
      </c>
      <c r="D377" s="27" t="s">
        <v>3485</v>
      </c>
      <c r="E377" s="27" t="s">
        <v>3486</v>
      </c>
      <c r="F377" s="27" t="s">
        <v>234</v>
      </c>
      <c r="G377" s="33">
        <v>45372.0</v>
      </c>
      <c r="H377" s="33">
        <v>45382.0</v>
      </c>
      <c r="I377" s="26">
        <v>4.0</v>
      </c>
      <c r="J377" s="27" t="s">
        <v>66</v>
      </c>
      <c r="K377" s="26">
        <v>87.0</v>
      </c>
      <c r="L377" s="27" t="s">
        <v>187</v>
      </c>
    </row>
    <row r="378" ht="15.75" customHeight="1">
      <c r="A378" s="25" t="s">
        <v>3881</v>
      </c>
      <c r="B378" s="25" t="s">
        <v>1330</v>
      </c>
      <c r="C378" s="25" t="s">
        <v>3496</v>
      </c>
      <c r="D378" s="25" t="s">
        <v>3485</v>
      </c>
      <c r="E378" s="25" t="s">
        <v>3486</v>
      </c>
      <c r="F378" s="25" t="s">
        <v>263</v>
      </c>
      <c r="G378" s="30">
        <v>44981.0</v>
      </c>
      <c r="H378" s="30">
        <v>45003.0</v>
      </c>
      <c r="I378" s="24">
        <v>4.0</v>
      </c>
      <c r="J378" s="25" t="s">
        <v>66</v>
      </c>
      <c r="K378" s="24">
        <v>85.0</v>
      </c>
      <c r="L378" s="25" t="s">
        <v>187</v>
      </c>
    </row>
    <row r="379" ht="15.75" customHeight="1">
      <c r="A379" s="27" t="s">
        <v>3882</v>
      </c>
      <c r="B379" s="27" t="s">
        <v>1330</v>
      </c>
      <c r="C379" s="27" t="s">
        <v>3529</v>
      </c>
      <c r="D379" s="27" t="s">
        <v>3481</v>
      </c>
      <c r="E379" s="27" t="s">
        <v>3530</v>
      </c>
      <c r="F379" s="27" t="s">
        <v>333</v>
      </c>
      <c r="G379" s="33">
        <v>45656.0</v>
      </c>
      <c r="H379" s="33">
        <v>45660.0</v>
      </c>
      <c r="I379" s="26">
        <v>24.0</v>
      </c>
      <c r="J379" s="27" t="s">
        <v>3487</v>
      </c>
      <c r="K379" s="27"/>
      <c r="L379" s="27" t="s">
        <v>187</v>
      </c>
    </row>
    <row r="380" ht="15.75" customHeight="1">
      <c r="A380" s="25" t="s">
        <v>3883</v>
      </c>
      <c r="B380" s="25" t="s">
        <v>1330</v>
      </c>
      <c r="C380" s="25" t="s">
        <v>3547</v>
      </c>
      <c r="D380" s="25" t="s">
        <v>3485</v>
      </c>
      <c r="E380" s="25" t="s">
        <v>3486</v>
      </c>
      <c r="F380" s="25" t="s">
        <v>340</v>
      </c>
      <c r="G380" s="30">
        <v>45613.0</v>
      </c>
      <c r="H380" s="30">
        <v>45619.0</v>
      </c>
      <c r="I380" s="24">
        <v>4.0</v>
      </c>
      <c r="J380" s="25" t="s">
        <v>3487</v>
      </c>
      <c r="K380" s="25"/>
      <c r="L380" s="25" t="s">
        <v>181</v>
      </c>
    </row>
    <row r="381" ht="15.75" customHeight="1">
      <c r="A381" s="27" t="s">
        <v>3884</v>
      </c>
      <c r="B381" s="27" t="s">
        <v>1336</v>
      </c>
      <c r="C381" s="27" t="s">
        <v>3504</v>
      </c>
      <c r="D381" s="27" t="s">
        <v>3481</v>
      </c>
      <c r="E381" s="27" t="s">
        <v>3505</v>
      </c>
      <c r="F381" s="27" t="s">
        <v>229</v>
      </c>
      <c r="G381" s="33">
        <v>45568.0</v>
      </c>
      <c r="H381" s="33">
        <v>45597.0</v>
      </c>
      <c r="I381" s="26">
        <v>32.0</v>
      </c>
      <c r="J381" s="27" t="s">
        <v>3497</v>
      </c>
      <c r="K381" s="27"/>
      <c r="L381" s="27" t="s">
        <v>181</v>
      </c>
    </row>
    <row r="382" ht="15.75" customHeight="1">
      <c r="A382" s="25" t="s">
        <v>3885</v>
      </c>
      <c r="B382" s="25" t="s">
        <v>1336</v>
      </c>
      <c r="C382" s="25" t="s">
        <v>3480</v>
      </c>
      <c r="D382" s="25" t="s">
        <v>3481</v>
      </c>
      <c r="E382" s="25" t="s">
        <v>3482</v>
      </c>
      <c r="F382" s="25" t="s">
        <v>246</v>
      </c>
      <c r="G382" s="30">
        <v>44771.0</v>
      </c>
      <c r="H382" s="30">
        <v>44792.0</v>
      </c>
      <c r="I382" s="24">
        <v>32.0</v>
      </c>
      <c r="J382" s="25" t="s">
        <v>66</v>
      </c>
      <c r="K382" s="24">
        <v>86.0</v>
      </c>
      <c r="L382" s="25" t="s">
        <v>181</v>
      </c>
    </row>
    <row r="383" ht="15.75" customHeight="1">
      <c r="A383" s="27" t="s">
        <v>3886</v>
      </c>
      <c r="B383" s="27" t="s">
        <v>1342</v>
      </c>
      <c r="C383" s="27" t="s">
        <v>3538</v>
      </c>
      <c r="D383" s="27" t="s">
        <v>3485</v>
      </c>
      <c r="E383" s="27" t="s">
        <v>3486</v>
      </c>
      <c r="F383" s="27" t="s">
        <v>234</v>
      </c>
      <c r="G383" s="33">
        <v>45458.0</v>
      </c>
      <c r="H383" s="33">
        <v>45466.0</v>
      </c>
      <c r="I383" s="26">
        <v>8.0</v>
      </c>
      <c r="J383" s="27" t="s">
        <v>3497</v>
      </c>
      <c r="K383" s="27"/>
      <c r="L383" s="27" t="s">
        <v>181</v>
      </c>
    </row>
    <row r="384" ht="15.75" customHeight="1">
      <c r="A384" s="25" t="s">
        <v>3887</v>
      </c>
      <c r="B384" s="25" t="s">
        <v>1342</v>
      </c>
      <c r="C384" s="25" t="s">
        <v>3513</v>
      </c>
      <c r="D384" s="25" t="s">
        <v>3481</v>
      </c>
      <c r="E384" s="25" t="s">
        <v>3514</v>
      </c>
      <c r="F384" s="25" t="s">
        <v>313</v>
      </c>
      <c r="G384" s="30">
        <v>44797.0</v>
      </c>
      <c r="H384" s="30">
        <v>44825.0</v>
      </c>
      <c r="I384" s="24">
        <v>32.0</v>
      </c>
      <c r="J384" s="25" t="s">
        <v>66</v>
      </c>
      <c r="K384" s="24">
        <v>80.0</v>
      </c>
      <c r="L384" s="25" t="s">
        <v>187</v>
      </c>
    </row>
    <row r="385" ht="15.75" customHeight="1">
      <c r="A385" s="27" t="s">
        <v>3888</v>
      </c>
      <c r="B385" s="27" t="s">
        <v>1342</v>
      </c>
      <c r="C385" s="27" t="s">
        <v>3489</v>
      </c>
      <c r="D385" s="27" t="s">
        <v>3485</v>
      </c>
      <c r="E385" s="27" t="s">
        <v>3486</v>
      </c>
      <c r="F385" s="27" t="s">
        <v>336</v>
      </c>
      <c r="G385" s="33">
        <v>44621.0</v>
      </c>
      <c r="H385" s="33">
        <v>44632.0</v>
      </c>
      <c r="I385" s="26">
        <v>24.0</v>
      </c>
      <c r="J385" s="27" t="s">
        <v>66</v>
      </c>
      <c r="K385" s="26">
        <v>61.0</v>
      </c>
      <c r="L385" s="27" t="s">
        <v>187</v>
      </c>
    </row>
    <row r="386" ht="15.75" customHeight="1">
      <c r="A386" s="25" t="s">
        <v>3889</v>
      </c>
      <c r="B386" s="25" t="s">
        <v>1342</v>
      </c>
      <c r="C386" s="25" t="s">
        <v>3547</v>
      </c>
      <c r="D386" s="25" t="s">
        <v>3485</v>
      </c>
      <c r="E386" s="25" t="s">
        <v>3486</v>
      </c>
      <c r="F386" s="25" t="s">
        <v>340</v>
      </c>
      <c r="G386" s="30">
        <v>45439.0</v>
      </c>
      <c r="H386" s="30">
        <v>45452.0</v>
      </c>
      <c r="I386" s="24">
        <v>4.0</v>
      </c>
      <c r="J386" s="25" t="s">
        <v>66</v>
      </c>
      <c r="K386" s="24">
        <v>89.0</v>
      </c>
      <c r="L386" s="25" t="s">
        <v>187</v>
      </c>
    </row>
    <row r="387" ht="15.75" customHeight="1">
      <c r="A387" s="27" t="s">
        <v>3890</v>
      </c>
      <c r="B387" s="27" t="s">
        <v>1342</v>
      </c>
      <c r="C387" s="27" t="s">
        <v>3484</v>
      </c>
      <c r="D387" s="27" t="s">
        <v>3485</v>
      </c>
      <c r="E387" s="27" t="s">
        <v>3486</v>
      </c>
      <c r="F387" s="27" t="s">
        <v>284</v>
      </c>
      <c r="G387" s="33">
        <v>44687.0</v>
      </c>
      <c r="H387" s="33">
        <v>44700.0</v>
      </c>
      <c r="I387" s="26">
        <v>24.0</v>
      </c>
      <c r="J387" s="27" t="s">
        <v>3497</v>
      </c>
      <c r="K387" s="27"/>
      <c r="L387" s="27" t="s">
        <v>181</v>
      </c>
    </row>
    <row r="388" ht="15.75" customHeight="1">
      <c r="A388" s="25" t="s">
        <v>3891</v>
      </c>
      <c r="B388" s="25" t="s">
        <v>1348</v>
      </c>
      <c r="C388" s="25" t="s">
        <v>3538</v>
      </c>
      <c r="D388" s="25" t="s">
        <v>3485</v>
      </c>
      <c r="E388" s="25" t="s">
        <v>3486</v>
      </c>
      <c r="F388" s="25" t="s">
        <v>234</v>
      </c>
      <c r="G388" s="30">
        <v>45309.0</v>
      </c>
      <c r="H388" s="30">
        <v>45334.0</v>
      </c>
      <c r="I388" s="24">
        <v>32.0</v>
      </c>
      <c r="J388" s="25" t="s">
        <v>66</v>
      </c>
      <c r="K388" s="24">
        <v>69.0</v>
      </c>
      <c r="L388" s="25" t="s">
        <v>181</v>
      </c>
    </row>
    <row r="389" ht="15.75" customHeight="1">
      <c r="A389" s="27" t="s">
        <v>3892</v>
      </c>
      <c r="B389" s="27" t="s">
        <v>1348</v>
      </c>
      <c r="C389" s="27" t="s">
        <v>3501</v>
      </c>
      <c r="D389" s="27" t="s">
        <v>3481</v>
      </c>
      <c r="E389" s="27" t="s">
        <v>3502</v>
      </c>
      <c r="F389" s="27" t="s">
        <v>266</v>
      </c>
      <c r="G389" s="33">
        <v>44912.0</v>
      </c>
      <c r="H389" s="33">
        <v>44918.0</v>
      </c>
      <c r="I389" s="26">
        <v>16.0</v>
      </c>
      <c r="J389" s="27" t="s">
        <v>66</v>
      </c>
      <c r="K389" s="26">
        <v>80.0</v>
      </c>
      <c r="L389" s="27" t="s">
        <v>181</v>
      </c>
    </row>
    <row r="390" ht="15.75" customHeight="1">
      <c r="A390" s="25" t="s">
        <v>3893</v>
      </c>
      <c r="B390" s="25" t="s">
        <v>1348</v>
      </c>
      <c r="C390" s="25" t="s">
        <v>3492</v>
      </c>
      <c r="D390" s="25" t="s">
        <v>3485</v>
      </c>
      <c r="E390" s="25" t="s">
        <v>3486</v>
      </c>
      <c r="F390" s="25" t="s">
        <v>234</v>
      </c>
      <c r="G390" s="30">
        <v>44738.0</v>
      </c>
      <c r="H390" s="30">
        <v>44751.0</v>
      </c>
      <c r="I390" s="24">
        <v>40.0</v>
      </c>
      <c r="J390" s="25" t="s">
        <v>66</v>
      </c>
      <c r="K390" s="24">
        <v>83.0</v>
      </c>
      <c r="L390" s="25" t="s">
        <v>181</v>
      </c>
    </row>
    <row r="391" ht="15.75" customHeight="1">
      <c r="A391" s="27" t="s">
        <v>3894</v>
      </c>
      <c r="B391" s="27" t="s">
        <v>1348</v>
      </c>
      <c r="C391" s="27" t="s">
        <v>3496</v>
      </c>
      <c r="D391" s="27" t="s">
        <v>3485</v>
      </c>
      <c r="E391" s="27" t="s">
        <v>3486</v>
      </c>
      <c r="F391" s="27" t="s">
        <v>263</v>
      </c>
      <c r="G391" s="33">
        <v>45248.0</v>
      </c>
      <c r="H391" s="33">
        <v>45266.0</v>
      </c>
      <c r="I391" s="26">
        <v>4.0</v>
      </c>
      <c r="J391" s="27" t="s">
        <v>3487</v>
      </c>
      <c r="K391" s="27"/>
      <c r="L391" s="27" t="s">
        <v>187</v>
      </c>
    </row>
    <row r="392" ht="15.75" customHeight="1">
      <c r="A392" s="25" t="s">
        <v>3895</v>
      </c>
      <c r="B392" s="25" t="s">
        <v>1355</v>
      </c>
      <c r="C392" s="25" t="s">
        <v>3484</v>
      </c>
      <c r="D392" s="25" t="s">
        <v>3485</v>
      </c>
      <c r="E392" s="25" t="s">
        <v>3486</v>
      </c>
      <c r="F392" s="25" t="s">
        <v>284</v>
      </c>
      <c r="G392" s="30">
        <v>45632.0</v>
      </c>
      <c r="H392" s="30">
        <v>45653.0</v>
      </c>
      <c r="I392" s="24">
        <v>8.0</v>
      </c>
      <c r="J392" s="25" t="s">
        <v>3497</v>
      </c>
      <c r="K392" s="25"/>
      <c r="L392" s="25" t="s">
        <v>181</v>
      </c>
    </row>
    <row r="393" ht="15.75" customHeight="1">
      <c r="A393" s="27" t="s">
        <v>3896</v>
      </c>
      <c r="B393" s="27" t="s">
        <v>1355</v>
      </c>
      <c r="C393" s="27" t="s">
        <v>3492</v>
      </c>
      <c r="D393" s="27" t="s">
        <v>3485</v>
      </c>
      <c r="E393" s="27" t="s">
        <v>3486</v>
      </c>
      <c r="F393" s="27" t="s">
        <v>234</v>
      </c>
      <c r="G393" s="33">
        <v>44846.0</v>
      </c>
      <c r="H393" s="33">
        <v>44857.0</v>
      </c>
      <c r="I393" s="26">
        <v>24.0</v>
      </c>
      <c r="J393" s="27" t="s">
        <v>66</v>
      </c>
      <c r="K393" s="26">
        <v>98.0</v>
      </c>
      <c r="L393" s="27" t="s">
        <v>181</v>
      </c>
    </row>
    <row r="394" ht="15.75" customHeight="1">
      <c r="A394" s="25" t="s">
        <v>3897</v>
      </c>
      <c r="B394" s="25" t="s">
        <v>1355</v>
      </c>
      <c r="C394" s="25" t="s">
        <v>3489</v>
      </c>
      <c r="D394" s="25" t="s">
        <v>3485</v>
      </c>
      <c r="E394" s="25" t="s">
        <v>3486</v>
      </c>
      <c r="F394" s="25" t="s">
        <v>336</v>
      </c>
      <c r="G394" s="30">
        <v>45656.0</v>
      </c>
      <c r="H394" s="30">
        <v>45681.0</v>
      </c>
      <c r="I394" s="24">
        <v>8.0</v>
      </c>
      <c r="J394" s="25" t="s">
        <v>66</v>
      </c>
      <c r="K394" s="24">
        <v>87.0</v>
      </c>
      <c r="L394" s="25" t="s">
        <v>187</v>
      </c>
    </row>
    <row r="395" ht="15.75" customHeight="1">
      <c r="A395" s="27" t="s">
        <v>3898</v>
      </c>
      <c r="B395" s="27" t="s">
        <v>1355</v>
      </c>
      <c r="C395" s="27" t="s">
        <v>3480</v>
      </c>
      <c r="D395" s="27" t="s">
        <v>3481</v>
      </c>
      <c r="E395" s="27" t="s">
        <v>3482</v>
      </c>
      <c r="F395" s="27" t="s">
        <v>246</v>
      </c>
      <c r="G395" s="33">
        <v>44595.0</v>
      </c>
      <c r="H395" s="33">
        <v>44601.0</v>
      </c>
      <c r="I395" s="26">
        <v>4.0</v>
      </c>
      <c r="J395" s="27" t="s">
        <v>66</v>
      </c>
      <c r="K395" s="26">
        <v>81.0</v>
      </c>
      <c r="L395" s="27" t="s">
        <v>181</v>
      </c>
    </row>
    <row r="396" ht="15.75" customHeight="1">
      <c r="A396" s="25" t="s">
        <v>3899</v>
      </c>
      <c r="B396" s="25" t="s">
        <v>1361</v>
      </c>
      <c r="C396" s="25" t="s">
        <v>3489</v>
      </c>
      <c r="D396" s="25" t="s">
        <v>3485</v>
      </c>
      <c r="E396" s="25" t="s">
        <v>3486</v>
      </c>
      <c r="F396" s="25" t="s">
        <v>336</v>
      </c>
      <c r="G396" s="30">
        <v>45449.0</v>
      </c>
      <c r="H396" s="30">
        <v>45473.0</v>
      </c>
      <c r="I396" s="24">
        <v>40.0</v>
      </c>
      <c r="J396" s="25" t="s">
        <v>66</v>
      </c>
      <c r="K396" s="24">
        <v>76.0</v>
      </c>
      <c r="L396" s="25" t="s">
        <v>187</v>
      </c>
    </row>
    <row r="397" ht="15.75" customHeight="1">
      <c r="A397" s="27" t="s">
        <v>3900</v>
      </c>
      <c r="B397" s="27" t="s">
        <v>1361</v>
      </c>
      <c r="C397" s="27" t="s">
        <v>3507</v>
      </c>
      <c r="D397" s="27" t="s">
        <v>3481</v>
      </c>
      <c r="E397" s="27" t="s">
        <v>3508</v>
      </c>
      <c r="F397" s="27" t="s">
        <v>288</v>
      </c>
      <c r="G397" s="33">
        <v>44828.0</v>
      </c>
      <c r="H397" s="33">
        <v>44838.0</v>
      </c>
      <c r="I397" s="26">
        <v>16.0</v>
      </c>
      <c r="J397" s="27" t="s">
        <v>3497</v>
      </c>
      <c r="K397" s="27"/>
      <c r="L397" s="27" t="s">
        <v>181</v>
      </c>
    </row>
    <row r="398" ht="15.75" customHeight="1">
      <c r="A398" s="25" t="s">
        <v>3901</v>
      </c>
      <c r="B398" s="25" t="s">
        <v>1361</v>
      </c>
      <c r="C398" s="25" t="s">
        <v>3529</v>
      </c>
      <c r="D398" s="25" t="s">
        <v>3481</v>
      </c>
      <c r="E398" s="25" t="s">
        <v>3530</v>
      </c>
      <c r="F398" s="25" t="s">
        <v>333</v>
      </c>
      <c r="G398" s="30">
        <v>44734.0</v>
      </c>
      <c r="H398" s="30">
        <v>44744.0</v>
      </c>
      <c r="I398" s="24">
        <v>40.0</v>
      </c>
      <c r="J398" s="25" t="s">
        <v>66</v>
      </c>
      <c r="K398" s="24">
        <v>94.0</v>
      </c>
      <c r="L398" s="25" t="s">
        <v>187</v>
      </c>
    </row>
    <row r="399" ht="15.75" customHeight="1">
      <c r="A399" s="27" t="s">
        <v>3902</v>
      </c>
      <c r="B399" s="27" t="s">
        <v>1361</v>
      </c>
      <c r="C399" s="27" t="s">
        <v>3504</v>
      </c>
      <c r="D399" s="27" t="s">
        <v>3481</v>
      </c>
      <c r="E399" s="27" t="s">
        <v>3505</v>
      </c>
      <c r="F399" s="27" t="s">
        <v>229</v>
      </c>
      <c r="G399" s="33">
        <v>44635.0</v>
      </c>
      <c r="H399" s="33">
        <v>44658.0</v>
      </c>
      <c r="I399" s="26">
        <v>4.0</v>
      </c>
      <c r="J399" s="27" t="s">
        <v>66</v>
      </c>
      <c r="K399" s="26">
        <v>82.0</v>
      </c>
      <c r="L399" s="27" t="s">
        <v>181</v>
      </c>
    </row>
    <row r="400" ht="15.75" customHeight="1">
      <c r="A400" s="25" t="s">
        <v>3903</v>
      </c>
      <c r="B400" s="25" t="s">
        <v>1361</v>
      </c>
      <c r="C400" s="25" t="s">
        <v>3538</v>
      </c>
      <c r="D400" s="25" t="s">
        <v>3485</v>
      </c>
      <c r="E400" s="25" t="s">
        <v>3486</v>
      </c>
      <c r="F400" s="25" t="s">
        <v>234</v>
      </c>
      <c r="G400" s="30">
        <v>45043.0</v>
      </c>
      <c r="H400" s="30">
        <v>45072.0</v>
      </c>
      <c r="I400" s="24">
        <v>24.0</v>
      </c>
      <c r="J400" s="25" t="s">
        <v>66</v>
      </c>
      <c r="K400" s="24">
        <v>84.0</v>
      </c>
      <c r="L400" s="25" t="s">
        <v>187</v>
      </c>
    </row>
    <row r="401" ht="15.75" customHeight="1">
      <c r="A401" s="27" t="s">
        <v>3904</v>
      </c>
      <c r="B401" s="27" t="s">
        <v>1367</v>
      </c>
      <c r="C401" s="27" t="s">
        <v>3538</v>
      </c>
      <c r="D401" s="27" t="s">
        <v>3485</v>
      </c>
      <c r="E401" s="27" t="s">
        <v>3486</v>
      </c>
      <c r="F401" s="27" t="s">
        <v>234</v>
      </c>
      <c r="G401" s="33">
        <v>44944.0</v>
      </c>
      <c r="H401" s="33">
        <v>44945.0</v>
      </c>
      <c r="I401" s="26">
        <v>24.0</v>
      </c>
      <c r="J401" s="27" t="s">
        <v>3487</v>
      </c>
      <c r="K401" s="27"/>
      <c r="L401" s="27" t="s">
        <v>187</v>
      </c>
    </row>
    <row r="402" ht="15.75" customHeight="1">
      <c r="A402" s="25" t="s">
        <v>3905</v>
      </c>
      <c r="B402" s="25" t="s">
        <v>1367</v>
      </c>
      <c r="C402" s="25" t="s">
        <v>3501</v>
      </c>
      <c r="D402" s="25" t="s">
        <v>3481</v>
      </c>
      <c r="E402" s="25" t="s">
        <v>3502</v>
      </c>
      <c r="F402" s="25" t="s">
        <v>266</v>
      </c>
      <c r="G402" s="30">
        <v>45341.0</v>
      </c>
      <c r="H402" s="30">
        <v>45366.0</v>
      </c>
      <c r="I402" s="24">
        <v>32.0</v>
      </c>
      <c r="J402" s="25" t="s">
        <v>66</v>
      </c>
      <c r="K402" s="24">
        <v>64.0</v>
      </c>
      <c r="L402" s="25" t="s">
        <v>187</v>
      </c>
    </row>
    <row r="403" ht="15.75" customHeight="1">
      <c r="A403" s="27" t="s">
        <v>3906</v>
      </c>
      <c r="B403" s="27" t="s">
        <v>1374</v>
      </c>
      <c r="C403" s="27" t="s">
        <v>3484</v>
      </c>
      <c r="D403" s="27" t="s">
        <v>3485</v>
      </c>
      <c r="E403" s="27" t="s">
        <v>3486</v>
      </c>
      <c r="F403" s="27" t="s">
        <v>284</v>
      </c>
      <c r="G403" s="33">
        <v>44869.0</v>
      </c>
      <c r="H403" s="33">
        <v>44897.0</v>
      </c>
      <c r="I403" s="26">
        <v>24.0</v>
      </c>
      <c r="J403" s="27" t="s">
        <v>66</v>
      </c>
      <c r="K403" s="26">
        <v>92.0</v>
      </c>
      <c r="L403" s="27" t="s">
        <v>187</v>
      </c>
    </row>
    <row r="404" ht="15.75" customHeight="1">
      <c r="A404" s="25" t="s">
        <v>3907</v>
      </c>
      <c r="B404" s="25" t="s">
        <v>1374</v>
      </c>
      <c r="C404" s="25" t="s">
        <v>3538</v>
      </c>
      <c r="D404" s="25" t="s">
        <v>3485</v>
      </c>
      <c r="E404" s="25" t="s">
        <v>3486</v>
      </c>
      <c r="F404" s="25" t="s">
        <v>234</v>
      </c>
      <c r="G404" s="30">
        <v>44877.0</v>
      </c>
      <c r="H404" s="30">
        <v>44904.0</v>
      </c>
      <c r="I404" s="24">
        <v>16.0</v>
      </c>
      <c r="J404" s="25" t="s">
        <v>3497</v>
      </c>
      <c r="K404" s="25"/>
      <c r="L404" s="25" t="s">
        <v>181</v>
      </c>
    </row>
    <row r="405" ht="15.75" customHeight="1">
      <c r="A405" s="27" t="s">
        <v>3908</v>
      </c>
      <c r="B405" s="27" t="s">
        <v>1374</v>
      </c>
      <c r="C405" s="27" t="s">
        <v>3547</v>
      </c>
      <c r="D405" s="27" t="s">
        <v>3485</v>
      </c>
      <c r="E405" s="27" t="s">
        <v>3486</v>
      </c>
      <c r="F405" s="27" t="s">
        <v>340</v>
      </c>
      <c r="G405" s="33">
        <v>45573.0</v>
      </c>
      <c r="H405" s="33">
        <v>45597.0</v>
      </c>
      <c r="I405" s="26">
        <v>40.0</v>
      </c>
      <c r="J405" s="27" t="s">
        <v>66</v>
      </c>
      <c r="K405" s="26">
        <v>94.0</v>
      </c>
      <c r="L405" s="27" t="s">
        <v>187</v>
      </c>
    </row>
    <row r="406" ht="15.75" customHeight="1">
      <c r="A406" s="25" t="s">
        <v>3909</v>
      </c>
      <c r="B406" s="25" t="s">
        <v>1374</v>
      </c>
      <c r="C406" s="25" t="s">
        <v>3517</v>
      </c>
      <c r="D406" s="25" t="s">
        <v>3481</v>
      </c>
      <c r="E406" s="25" t="s">
        <v>3518</v>
      </c>
      <c r="F406" s="25" t="s">
        <v>238</v>
      </c>
      <c r="G406" s="30">
        <v>45635.0</v>
      </c>
      <c r="H406" s="30">
        <v>45636.0</v>
      </c>
      <c r="I406" s="24">
        <v>8.0</v>
      </c>
      <c r="J406" s="25" t="s">
        <v>66</v>
      </c>
      <c r="K406" s="24">
        <v>100.0</v>
      </c>
      <c r="L406" s="25" t="s">
        <v>181</v>
      </c>
    </row>
    <row r="407" ht="15.75" customHeight="1">
      <c r="A407" s="27" t="s">
        <v>3910</v>
      </c>
      <c r="B407" s="27" t="s">
        <v>1380</v>
      </c>
      <c r="C407" s="27" t="s">
        <v>3496</v>
      </c>
      <c r="D407" s="27" t="s">
        <v>3485</v>
      </c>
      <c r="E407" s="27" t="s">
        <v>3486</v>
      </c>
      <c r="F407" s="27" t="s">
        <v>263</v>
      </c>
      <c r="G407" s="33">
        <v>44623.0</v>
      </c>
      <c r="H407" s="33">
        <v>44645.0</v>
      </c>
      <c r="I407" s="26">
        <v>16.0</v>
      </c>
      <c r="J407" s="27" t="s">
        <v>3497</v>
      </c>
      <c r="K407" s="27"/>
      <c r="L407" s="27" t="s">
        <v>187</v>
      </c>
    </row>
    <row r="408" ht="15.75" customHeight="1">
      <c r="A408" s="25" t="s">
        <v>3911</v>
      </c>
      <c r="B408" s="25" t="s">
        <v>1380</v>
      </c>
      <c r="C408" s="25" t="s">
        <v>3489</v>
      </c>
      <c r="D408" s="25" t="s">
        <v>3485</v>
      </c>
      <c r="E408" s="25" t="s">
        <v>3486</v>
      </c>
      <c r="F408" s="25" t="s">
        <v>336</v>
      </c>
      <c r="G408" s="30">
        <v>45342.0</v>
      </c>
      <c r="H408" s="30">
        <v>45366.0</v>
      </c>
      <c r="I408" s="24">
        <v>40.0</v>
      </c>
      <c r="J408" s="25" t="s">
        <v>66</v>
      </c>
      <c r="K408" s="24">
        <v>89.0</v>
      </c>
      <c r="L408" s="25" t="s">
        <v>181</v>
      </c>
    </row>
    <row r="409" ht="15.75" customHeight="1">
      <c r="A409" s="27" t="s">
        <v>3912</v>
      </c>
      <c r="B409" s="27" t="s">
        <v>1380</v>
      </c>
      <c r="C409" s="27" t="s">
        <v>3510</v>
      </c>
      <c r="D409" s="27" t="s">
        <v>3485</v>
      </c>
      <c r="E409" s="27" t="s">
        <v>3486</v>
      </c>
      <c r="F409" s="27" t="s">
        <v>329</v>
      </c>
      <c r="G409" s="33">
        <v>44624.0</v>
      </c>
      <c r="H409" s="33">
        <v>44646.0</v>
      </c>
      <c r="I409" s="26">
        <v>16.0</v>
      </c>
      <c r="J409" s="27" t="s">
        <v>66</v>
      </c>
      <c r="K409" s="26">
        <v>94.0</v>
      </c>
      <c r="L409" s="27" t="s">
        <v>181</v>
      </c>
    </row>
    <row r="410" ht="15.75" customHeight="1">
      <c r="A410" s="25" t="s">
        <v>3913</v>
      </c>
      <c r="B410" s="25" t="s">
        <v>1386</v>
      </c>
      <c r="C410" s="25" t="s">
        <v>3507</v>
      </c>
      <c r="D410" s="25" t="s">
        <v>3481</v>
      </c>
      <c r="E410" s="25" t="s">
        <v>3508</v>
      </c>
      <c r="F410" s="25" t="s">
        <v>288</v>
      </c>
      <c r="G410" s="30">
        <v>45076.0</v>
      </c>
      <c r="H410" s="30">
        <v>45082.0</v>
      </c>
      <c r="I410" s="24">
        <v>24.0</v>
      </c>
      <c r="J410" s="25" t="s">
        <v>3487</v>
      </c>
      <c r="K410" s="25"/>
      <c r="L410" s="25" t="s">
        <v>187</v>
      </c>
    </row>
    <row r="411" ht="15.75" customHeight="1">
      <c r="A411" s="27" t="s">
        <v>3914</v>
      </c>
      <c r="B411" s="27" t="s">
        <v>1386</v>
      </c>
      <c r="C411" s="27" t="s">
        <v>3513</v>
      </c>
      <c r="D411" s="27" t="s">
        <v>3481</v>
      </c>
      <c r="E411" s="27" t="s">
        <v>3514</v>
      </c>
      <c r="F411" s="27" t="s">
        <v>313</v>
      </c>
      <c r="G411" s="33">
        <v>45369.0</v>
      </c>
      <c r="H411" s="33">
        <v>45376.0</v>
      </c>
      <c r="I411" s="26">
        <v>32.0</v>
      </c>
      <c r="J411" s="27" t="s">
        <v>66</v>
      </c>
      <c r="K411" s="26">
        <v>78.0</v>
      </c>
      <c r="L411" s="27" t="s">
        <v>181</v>
      </c>
    </row>
    <row r="412" ht="15.75" customHeight="1">
      <c r="A412" s="25" t="s">
        <v>3915</v>
      </c>
      <c r="B412" s="25" t="s">
        <v>1386</v>
      </c>
      <c r="C412" s="25" t="s">
        <v>3510</v>
      </c>
      <c r="D412" s="25" t="s">
        <v>3485</v>
      </c>
      <c r="E412" s="25" t="s">
        <v>3486</v>
      </c>
      <c r="F412" s="25" t="s">
        <v>329</v>
      </c>
      <c r="G412" s="30">
        <v>45067.0</v>
      </c>
      <c r="H412" s="30">
        <v>45088.0</v>
      </c>
      <c r="I412" s="24">
        <v>40.0</v>
      </c>
      <c r="J412" s="25" t="s">
        <v>3487</v>
      </c>
      <c r="K412" s="25"/>
      <c r="L412" s="25" t="s">
        <v>187</v>
      </c>
    </row>
    <row r="413" ht="15.75" customHeight="1">
      <c r="A413" s="27" t="s">
        <v>3916</v>
      </c>
      <c r="B413" s="27" t="s">
        <v>1393</v>
      </c>
      <c r="C413" s="27" t="s">
        <v>3507</v>
      </c>
      <c r="D413" s="27" t="s">
        <v>3481</v>
      </c>
      <c r="E413" s="27" t="s">
        <v>3508</v>
      </c>
      <c r="F413" s="27" t="s">
        <v>288</v>
      </c>
      <c r="G413" s="33">
        <v>44773.0</v>
      </c>
      <c r="H413" s="33">
        <v>44784.0</v>
      </c>
      <c r="I413" s="26">
        <v>16.0</v>
      </c>
      <c r="J413" s="27" t="s">
        <v>66</v>
      </c>
      <c r="K413" s="26">
        <v>65.0</v>
      </c>
      <c r="L413" s="27" t="s">
        <v>187</v>
      </c>
    </row>
    <row r="414" ht="15.75" customHeight="1">
      <c r="A414" s="25" t="s">
        <v>3917</v>
      </c>
      <c r="B414" s="25" t="s">
        <v>1393</v>
      </c>
      <c r="C414" s="25" t="s">
        <v>3529</v>
      </c>
      <c r="D414" s="25" t="s">
        <v>3481</v>
      </c>
      <c r="E414" s="25" t="s">
        <v>3530</v>
      </c>
      <c r="F414" s="25" t="s">
        <v>333</v>
      </c>
      <c r="G414" s="30">
        <v>44944.0</v>
      </c>
      <c r="H414" s="30">
        <v>44962.0</v>
      </c>
      <c r="I414" s="24">
        <v>40.0</v>
      </c>
      <c r="J414" s="25" t="s">
        <v>3497</v>
      </c>
      <c r="K414" s="25"/>
      <c r="L414" s="25" t="s">
        <v>187</v>
      </c>
    </row>
    <row r="415" ht="15.75" customHeight="1">
      <c r="A415" s="27" t="s">
        <v>3918</v>
      </c>
      <c r="B415" s="27" t="s">
        <v>1393</v>
      </c>
      <c r="C415" s="27" t="s">
        <v>3501</v>
      </c>
      <c r="D415" s="27" t="s">
        <v>3481</v>
      </c>
      <c r="E415" s="27" t="s">
        <v>3502</v>
      </c>
      <c r="F415" s="27" t="s">
        <v>266</v>
      </c>
      <c r="G415" s="33">
        <v>44926.0</v>
      </c>
      <c r="H415" s="33">
        <v>44956.0</v>
      </c>
      <c r="I415" s="26">
        <v>24.0</v>
      </c>
      <c r="J415" s="27" t="s">
        <v>3487</v>
      </c>
      <c r="K415" s="27"/>
      <c r="L415" s="27" t="s">
        <v>181</v>
      </c>
    </row>
    <row r="416" ht="15.75" customHeight="1">
      <c r="A416" s="25" t="s">
        <v>3919</v>
      </c>
      <c r="B416" s="25" t="s">
        <v>1393</v>
      </c>
      <c r="C416" s="25" t="s">
        <v>3538</v>
      </c>
      <c r="D416" s="25" t="s">
        <v>3485</v>
      </c>
      <c r="E416" s="25" t="s">
        <v>3486</v>
      </c>
      <c r="F416" s="25" t="s">
        <v>234</v>
      </c>
      <c r="G416" s="30">
        <v>44913.0</v>
      </c>
      <c r="H416" s="30">
        <v>44926.0</v>
      </c>
      <c r="I416" s="24">
        <v>8.0</v>
      </c>
      <c r="J416" s="25" t="s">
        <v>3487</v>
      </c>
      <c r="K416" s="25"/>
      <c r="L416" s="25" t="s">
        <v>181</v>
      </c>
    </row>
    <row r="417" ht="15.75" customHeight="1">
      <c r="A417" s="27" t="s">
        <v>3920</v>
      </c>
      <c r="B417" s="27" t="s">
        <v>1400</v>
      </c>
      <c r="C417" s="27" t="s">
        <v>3538</v>
      </c>
      <c r="D417" s="27" t="s">
        <v>3485</v>
      </c>
      <c r="E417" s="27" t="s">
        <v>3486</v>
      </c>
      <c r="F417" s="27" t="s">
        <v>234</v>
      </c>
      <c r="G417" s="33">
        <v>45319.0</v>
      </c>
      <c r="H417" s="33">
        <v>45323.0</v>
      </c>
      <c r="I417" s="26">
        <v>32.0</v>
      </c>
      <c r="J417" s="27" t="s">
        <v>66</v>
      </c>
      <c r="K417" s="26">
        <v>66.0</v>
      </c>
      <c r="L417" s="27" t="s">
        <v>187</v>
      </c>
    </row>
    <row r="418" ht="15.75" customHeight="1">
      <c r="A418" s="25" t="s">
        <v>3921</v>
      </c>
      <c r="B418" s="25" t="s">
        <v>1400</v>
      </c>
      <c r="C418" s="25" t="s">
        <v>3484</v>
      </c>
      <c r="D418" s="25" t="s">
        <v>3485</v>
      </c>
      <c r="E418" s="25" t="s">
        <v>3486</v>
      </c>
      <c r="F418" s="25" t="s">
        <v>284</v>
      </c>
      <c r="G418" s="30">
        <v>45318.0</v>
      </c>
      <c r="H418" s="30">
        <v>45330.0</v>
      </c>
      <c r="I418" s="24">
        <v>40.0</v>
      </c>
      <c r="J418" s="25" t="s">
        <v>66</v>
      </c>
      <c r="K418" s="24">
        <v>91.0</v>
      </c>
      <c r="L418" s="25" t="s">
        <v>187</v>
      </c>
    </row>
    <row r="419" ht="15.75" customHeight="1">
      <c r="A419" s="27" t="s">
        <v>3922</v>
      </c>
      <c r="B419" s="27" t="s">
        <v>1400</v>
      </c>
      <c r="C419" s="27" t="s">
        <v>3504</v>
      </c>
      <c r="D419" s="27" t="s">
        <v>3481</v>
      </c>
      <c r="E419" s="27" t="s">
        <v>3505</v>
      </c>
      <c r="F419" s="27" t="s">
        <v>229</v>
      </c>
      <c r="G419" s="33">
        <v>45353.0</v>
      </c>
      <c r="H419" s="33">
        <v>45381.0</v>
      </c>
      <c r="I419" s="26">
        <v>4.0</v>
      </c>
      <c r="J419" s="27" t="s">
        <v>66</v>
      </c>
      <c r="K419" s="26">
        <v>99.0</v>
      </c>
      <c r="L419" s="27" t="s">
        <v>187</v>
      </c>
    </row>
    <row r="420" ht="15.75" customHeight="1">
      <c r="A420" s="25" t="s">
        <v>3923</v>
      </c>
      <c r="B420" s="25" t="s">
        <v>1406</v>
      </c>
      <c r="C420" s="25" t="s">
        <v>3501</v>
      </c>
      <c r="D420" s="25" t="s">
        <v>3481</v>
      </c>
      <c r="E420" s="25" t="s">
        <v>3502</v>
      </c>
      <c r="F420" s="25" t="s">
        <v>266</v>
      </c>
      <c r="G420" s="30">
        <v>45021.0</v>
      </c>
      <c r="H420" s="30">
        <v>45022.0</v>
      </c>
      <c r="I420" s="24">
        <v>40.0</v>
      </c>
      <c r="J420" s="25" t="s">
        <v>66</v>
      </c>
      <c r="K420" s="24">
        <v>99.0</v>
      </c>
      <c r="L420" s="25" t="s">
        <v>181</v>
      </c>
    </row>
    <row r="421" ht="15.75" customHeight="1">
      <c r="A421" s="27" t="s">
        <v>3924</v>
      </c>
      <c r="B421" s="27" t="s">
        <v>1406</v>
      </c>
      <c r="C421" s="27" t="s">
        <v>3504</v>
      </c>
      <c r="D421" s="27" t="s">
        <v>3481</v>
      </c>
      <c r="E421" s="27" t="s">
        <v>3505</v>
      </c>
      <c r="F421" s="27" t="s">
        <v>229</v>
      </c>
      <c r="G421" s="33">
        <v>45611.0</v>
      </c>
      <c r="H421" s="33">
        <v>45638.0</v>
      </c>
      <c r="I421" s="26">
        <v>4.0</v>
      </c>
      <c r="J421" s="27" t="s">
        <v>66</v>
      </c>
      <c r="K421" s="26">
        <v>90.0</v>
      </c>
      <c r="L421" s="27" t="s">
        <v>187</v>
      </c>
    </row>
    <row r="422" ht="15.75" customHeight="1">
      <c r="A422" s="25" t="s">
        <v>3925</v>
      </c>
      <c r="B422" s="25" t="s">
        <v>1406</v>
      </c>
      <c r="C422" s="25" t="s">
        <v>3510</v>
      </c>
      <c r="D422" s="25" t="s">
        <v>3485</v>
      </c>
      <c r="E422" s="25" t="s">
        <v>3486</v>
      </c>
      <c r="F422" s="25" t="s">
        <v>329</v>
      </c>
      <c r="G422" s="30">
        <v>44899.0</v>
      </c>
      <c r="H422" s="30">
        <v>44901.0</v>
      </c>
      <c r="I422" s="24">
        <v>40.0</v>
      </c>
      <c r="J422" s="25" t="s">
        <v>66</v>
      </c>
      <c r="K422" s="24">
        <v>81.0</v>
      </c>
      <c r="L422" s="25" t="s">
        <v>181</v>
      </c>
    </row>
    <row r="423" ht="15.75" customHeight="1">
      <c r="A423" s="27" t="s">
        <v>3926</v>
      </c>
      <c r="B423" s="27" t="s">
        <v>1406</v>
      </c>
      <c r="C423" s="27" t="s">
        <v>3489</v>
      </c>
      <c r="D423" s="27" t="s">
        <v>3485</v>
      </c>
      <c r="E423" s="27" t="s">
        <v>3486</v>
      </c>
      <c r="F423" s="27" t="s">
        <v>336</v>
      </c>
      <c r="G423" s="33">
        <v>45113.0</v>
      </c>
      <c r="H423" s="33">
        <v>45139.0</v>
      </c>
      <c r="I423" s="26">
        <v>16.0</v>
      </c>
      <c r="J423" s="27" t="s">
        <v>66</v>
      </c>
      <c r="K423" s="26">
        <v>73.0</v>
      </c>
      <c r="L423" s="27" t="s">
        <v>187</v>
      </c>
    </row>
    <row r="424" ht="15.75" customHeight="1">
      <c r="A424" s="25" t="s">
        <v>3927</v>
      </c>
      <c r="B424" s="25" t="s">
        <v>1413</v>
      </c>
      <c r="C424" s="25" t="s">
        <v>3480</v>
      </c>
      <c r="D424" s="25" t="s">
        <v>3481</v>
      </c>
      <c r="E424" s="25" t="s">
        <v>3482</v>
      </c>
      <c r="F424" s="25" t="s">
        <v>246</v>
      </c>
      <c r="G424" s="30">
        <v>45491.0</v>
      </c>
      <c r="H424" s="30">
        <v>45495.0</v>
      </c>
      <c r="I424" s="24">
        <v>16.0</v>
      </c>
      <c r="J424" s="25" t="s">
        <v>66</v>
      </c>
      <c r="K424" s="24">
        <v>72.0</v>
      </c>
      <c r="L424" s="25" t="s">
        <v>181</v>
      </c>
    </row>
    <row r="425" ht="15.75" customHeight="1">
      <c r="A425" s="27" t="s">
        <v>3928</v>
      </c>
      <c r="B425" s="27" t="s">
        <v>1413</v>
      </c>
      <c r="C425" s="27" t="s">
        <v>3513</v>
      </c>
      <c r="D425" s="27" t="s">
        <v>3481</v>
      </c>
      <c r="E425" s="27" t="s">
        <v>3514</v>
      </c>
      <c r="F425" s="27" t="s">
        <v>313</v>
      </c>
      <c r="G425" s="33">
        <v>45005.0</v>
      </c>
      <c r="H425" s="33">
        <v>45029.0</v>
      </c>
      <c r="I425" s="26">
        <v>32.0</v>
      </c>
      <c r="J425" s="27" t="s">
        <v>66</v>
      </c>
      <c r="K425" s="26">
        <v>73.0</v>
      </c>
      <c r="L425" s="27" t="s">
        <v>187</v>
      </c>
    </row>
    <row r="426" ht="15.75" customHeight="1">
      <c r="A426" s="25" t="s">
        <v>3929</v>
      </c>
      <c r="B426" s="25" t="s">
        <v>1413</v>
      </c>
      <c r="C426" s="25" t="s">
        <v>3510</v>
      </c>
      <c r="D426" s="25" t="s">
        <v>3485</v>
      </c>
      <c r="E426" s="25" t="s">
        <v>3486</v>
      </c>
      <c r="F426" s="25" t="s">
        <v>329</v>
      </c>
      <c r="G426" s="30">
        <v>45536.0</v>
      </c>
      <c r="H426" s="30">
        <v>45560.0</v>
      </c>
      <c r="I426" s="24">
        <v>32.0</v>
      </c>
      <c r="J426" s="25" t="s">
        <v>3497</v>
      </c>
      <c r="K426" s="25"/>
      <c r="L426" s="25" t="s">
        <v>181</v>
      </c>
    </row>
    <row r="427" ht="15.75" customHeight="1">
      <c r="A427" s="27" t="s">
        <v>3930</v>
      </c>
      <c r="B427" s="27" t="s">
        <v>1419</v>
      </c>
      <c r="C427" s="27" t="s">
        <v>3501</v>
      </c>
      <c r="D427" s="27" t="s">
        <v>3481</v>
      </c>
      <c r="E427" s="27" t="s">
        <v>3502</v>
      </c>
      <c r="F427" s="27" t="s">
        <v>266</v>
      </c>
      <c r="G427" s="33">
        <v>45478.0</v>
      </c>
      <c r="H427" s="33">
        <v>45506.0</v>
      </c>
      <c r="I427" s="26">
        <v>4.0</v>
      </c>
      <c r="J427" s="27" t="s">
        <v>66</v>
      </c>
      <c r="K427" s="26">
        <v>99.0</v>
      </c>
      <c r="L427" s="27" t="s">
        <v>187</v>
      </c>
    </row>
    <row r="428" ht="15.75" customHeight="1">
      <c r="A428" s="25" t="s">
        <v>3931</v>
      </c>
      <c r="B428" s="25" t="s">
        <v>1419</v>
      </c>
      <c r="C428" s="25" t="s">
        <v>3517</v>
      </c>
      <c r="D428" s="25" t="s">
        <v>3481</v>
      </c>
      <c r="E428" s="25" t="s">
        <v>3518</v>
      </c>
      <c r="F428" s="25" t="s">
        <v>238</v>
      </c>
      <c r="G428" s="30">
        <v>44868.0</v>
      </c>
      <c r="H428" s="30">
        <v>44891.0</v>
      </c>
      <c r="I428" s="24">
        <v>4.0</v>
      </c>
      <c r="J428" s="25" t="s">
        <v>3497</v>
      </c>
      <c r="K428" s="25"/>
      <c r="L428" s="25" t="s">
        <v>187</v>
      </c>
    </row>
    <row r="429" ht="15.75" customHeight="1">
      <c r="A429" s="27" t="s">
        <v>3932</v>
      </c>
      <c r="B429" s="27" t="s">
        <v>1425</v>
      </c>
      <c r="C429" s="27" t="s">
        <v>3496</v>
      </c>
      <c r="D429" s="27" t="s">
        <v>3485</v>
      </c>
      <c r="E429" s="27" t="s">
        <v>3486</v>
      </c>
      <c r="F429" s="27" t="s">
        <v>263</v>
      </c>
      <c r="G429" s="33">
        <v>45286.0</v>
      </c>
      <c r="H429" s="33">
        <v>45292.0</v>
      </c>
      <c r="I429" s="26">
        <v>32.0</v>
      </c>
      <c r="J429" s="27" t="s">
        <v>66</v>
      </c>
      <c r="K429" s="26">
        <v>93.0</v>
      </c>
      <c r="L429" s="27" t="s">
        <v>181</v>
      </c>
    </row>
    <row r="430" ht="15.75" customHeight="1">
      <c r="A430" s="25" t="s">
        <v>3933</v>
      </c>
      <c r="B430" s="25" t="s">
        <v>1431</v>
      </c>
      <c r="C430" s="25" t="s">
        <v>3538</v>
      </c>
      <c r="D430" s="25" t="s">
        <v>3485</v>
      </c>
      <c r="E430" s="25" t="s">
        <v>3486</v>
      </c>
      <c r="F430" s="25" t="s">
        <v>234</v>
      </c>
      <c r="G430" s="30">
        <v>44831.0</v>
      </c>
      <c r="H430" s="30">
        <v>44856.0</v>
      </c>
      <c r="I430" s="24">
        <v>16.0</v>
      </c>
      <c r="J430" s="25" t="s">
        <v>66</v>
      </c>
      <c r="K430" s="24">
        <v>83.0</v>
      </c>
      <c r="L430" s="25" t="s">
        <v>181</v>
      </c>
    </row>
    <row r="431" ht="15.75" customHeight="1">
      <c r="A431" s="27" t="s">
        <v>3934</v>
      </c>
      <c r="B431" s="27" t="s">
        <v>1431</v>
      </c>
      <c r="C431" s="27" t="s">
        <v>3547</v>
      </c>
      <c r="D431" s="27" t="s">
        <v>3485</v>
      </c>
      <c r="E431" s="27" t="s">
        <v>3486</v>
      </c>
      <c r="F431" s="27" t="s">
        <v>340</v>
      </c>
      <c r="G431" s="33">
        <v>45043.0</v>
      </c>
      <c r="H431" s="33">
        <v>45071.0</v>
      </c>
      <c r="I431" s="26">
        <v>32.0</v>
      </c>
      <c r="J431" s="27" t="s">
        <v>66</v>
      </c>
      <c r="K431" s="26">
        <v>82.0</v>
      </c>
      <c r="L431" s="27" t="s">
        <v>187</v>
      </c>
    </row>
    <row r="432" ht="15.75" customHeight="1">
      <c r="A432" s="25" t="s">
        <v>3935</v>
      </c>
      <c r="B432" s="25" t="s">
        <v>1431</v>
      </c>
      <c r="C432" s="25" t="s">
        <v>3507</v>
      </c>
      <c r="D432" s="25" t="s">
        <v>3481</v>
      </c>
      <c r="E432" s="25" t="s">
        <v>3508</v>
      </c>
      <c r="F432" s="25" t="s">
        <v>288</v>
      </c>
      <c r="G432" s="30">
        <v>44895.0</v>
      </c>
      <c r="H432" s="30">
        <v>44924.0</v>
      </c>
      <c r="I432" s="24">
        <v>16.0</v>
      </c>
      <c r="J432" s="25" t="s">
        <v>66</v>
      </c>
      <c r="K432" s="24">
        <v>95.0</v>
      </c>
      <c r="L432" s="25" t="s">
        <v>187</v>
      </c>
    </row>
    <row r="433" ht="15.75" customHeight="1">
      <c r="A433" s="27" t="s">
        <v>3936</v>
      </c>
      <c r="B433" s="27" t="s">
        <v>1431</v>
      </c>
      <c r="C433" s="27" t="s">
        <v>3496</v>
      </c>
      <c r="D433" s="27" t="s">
        <v>3485</v>
      </c>
      <c r="E433" s="27" t="s">
        <v>3486</v>
      </c>
      <c r="F433" s="27" t="s">
        <v>263</v>
      </c>
      <c r="G433" s="33">
        <v>45414.0</v>
      </c>
      <c r="H433" s="33">
        <v>45416.0</v>
      </c>
      <c r="I433" s="26">
        <v>32.0</v>
      </c>
      <c r="J433" s="27" t="s">
        <v>3487</v>
      </c>
      <c r="K433" s="27"/>
      <c r="L433" s="27" t="s">
        <v>187</v>
      </c>
    </row>
    <row r="434" ht="15.75" customHeight="1">
      <c r="A434" s="25" t="s">
        <v>3937</v>
      </c>
      <c r="B434" s="25" t="s">
        <v>1431</v>
      </c>
      <c r="C434" s="25" t="s">
        <v>3484</v>
      </c>
      <c r="D434" s="25" t="s">
        <v>3485</v>
      </c>
      <c r="E434" s="25" t="s">
        <v>3486</v>
      </c>
      <c r="F434" s="25" t="s">
        <v>284</v>
      </c>
      <c r="G434" s="30">
        <v>45483.0</v>
      </c>
      <c r="H434" s="30">
        <v>45501.0</v>
      </c>
      <c r="I434" s="24">
        <v>16.0</v>
      </c>
      <c r="J434" s="25" t="s">
        <v>66</v>
      </c>
      <c r="K434" s="24">
        <v>70.0</v>
      </c>
      <c r="L434" s="25" t="s">
        <v>181</v>
      </c>
    </row>
    <row r="435" ht="15.75" customHeight="1">
      <c r="A435" s="27" t="s">
        <v>3938</v>
      </c>
      <c r="B435" s="27" t="s">
        <v>1437</v>
      </c>
      <c r="C435" s="27" t="s">
        <v>3489</v>
      </c>
      <c r="D435" s="27" t="s">
        <v>3485</v>
      </c>
      <c r="E435" s="27" t="s">
        <v>3486</v>
      </c>
      <c r="F435" s="27" t="s">
        <v>336</v>
      </c>
      <c r="G435" s="33">
        <v>45134.0</v>
      </c>
      <c r="H435" s="33">
        <v>45152.0</v>
      </c>
      <c r="I435" s="26">
        <v>40.0</v>
      </c>
      <c r="J435" s="27" t="s">
        <v>66</v>
      </c>
      <c r="K435" s="26">
        <v>97.0</v>
      </c>
      <c r="L435" s="27" t="s">
        <v>187</v>
      </c>
    </row>
    <row r="436" ht="15.75" customHeight="1">
      <c r="A436" s="25" t="s">
        <v>3939</v>
      </c>
      <c r="B436" s="25" t="s">
        <v>1437</v>
      </c>
      <c r="C436" s="25" t="s">
        <v>3513</v>
      </c>
      <c r="D436" s="25" t="s">
        <v>3481</v>
      </c>
      <c r="E436" s="25" t="s">
        <v>3514</v>
      </c>
      <c r="F436" s="25" t="s">
        <v>313</v>
      </c>
      <c r="G436" s="30">
        <v>45306.0</v>
      </c>
      <c r="H436" s="30">
        <v>45332.0</v>
      </c>
      <c r="I436" s="24">
        <v>40.0</v>
      </c>
      <c r="J436" s="25" t="s">
        <v>3497</v>
      </c>
      <c r="K436" s="25"/>
      <c r="L436" s="25" t="s">
        <v>187</v>
      </c>
    </row>
    <row r="437" ht="15.75" customHeight="1">
      <c r="A437" s="27" t="s">
        <v>3940</v>
      </c>
      <c r="B437" s="27" t="s">
        <v>1437</v>
      </c>
      <c r="C437" s="27" t="s">
        <v>3538</v>
      </c>
      <c r="D437" s="27" t="s">
        <v>3485</v>
      </c>
      <c r="E437" s="27" t="s">
        <v>3486</v>
      </c>
      <c r="F437" s="27" t="s">
        <v>234</v>
      </c>
      <c r="G437" s="33">
        <v>44926.0</v>
      </c>
      <c r="H437" s="33">
        <v>44943.0</v>
      </c>
      <c r="I437" s="26">
        <v>32.0</v>
      </c>
      <c r="J437" s="27" t="s">
        <v>66</v>
      </c>
      <c r="K437" s="26">
        <v>67.0</v>
      </c>
      <c r="L437" s="27" t="s">
        <v>181</v>
      </c>
    </row>
    <row r="438" ht="15.75" customHeight="1">
      <c r="A438" s="25" t="s">
        <v>3941</v>
      </c>
      <c r="B438" s="25" t="s">
        <v>1437</v>
      </c>
      <c r="C438" s="25" t="s">
        <v>3501</v>
      </c>
      <c r="D438" s="25" t="s">
        <v>3481</v>
      </c>
      <c r="E438" s="25" t="s">
        <v>3502</v>
      </c>
      <c r="F438" s="25" t="s">
        <v>266</v>
      </c>
      <c r="G438" s="30">
        <v>45438.0</v>
      </c>
      <c r="H438" s="30">
        <v>45449.0</v>
      </c>
      <c r="I438" s="24">
        <v>4.0</v>
      </c>
      <c r="J438" s="25" t="s">
        <v>66</v>
      </c>
      <c r="K438" s="24">
        <v>62.0</v>
      </c>
      <c r="L438" s="25" t="s">
        <v>181</v>
      </c>
    </row>
    <row r="439" ht="15.75" customHeight="1">
      <c r="A439" s="27" t="s">
        <v>3942</v>
      </c>
      <c r="B439" s="27" t="s">
        <v>1443</v>
      </c>
      <c r="C439" s="27" t="s">
        <v>3501</v>
      </c>
      <c r="D439" s="27" t="s">
        <v>3481</v>
      </c>
      <c r="E439" s="27" t="s">
        <v>3502</v>
      </c>
      <c r="F439" s="27" t="s">
        <v>266</v>
      </c>
      <c r="G439" s="33">
        <v>45324.0</v>
      </c>
      <c r="H439" s="33">
        <v>45345.0</v>
      </c>
      <c r="I439" s="26">
        <v>40.0</v>
      </c>
      <c r="J439" s="27" t="s">
        <v>66</v>
      </c>
      <c r="K439" s="26">
        <v>74.0</v>
      </c>
      <c r="L439" s="27" t="s">
        <v>181</v>
      </c>
    </row>
    <row r="440" ht="15.75" customHeight="1">
      <c r="A440" s="25" t="s">
        <v>3943</v>
      </c>
      <c r="B440" s="25" t="s">
        <v>1443</v>
      </c>
      <c r="C440" s="25" t="s">
        <v>3510</v>
      </c>
      <c r="D440" s="25" t="s">
        <v>3485</v>
      </c>
      <c r="E440" s="25" t="s">
        <v>3486</v>
      </c>
      <c r="F440" s="25" t="s">
        <v>329</v>
      </c>
      <c r="G440" s="30">
        <v>45046.0</v>
      </c>
      <c r="H440" s="30">
        <v>45051.0</v>
      </c>
      <c r="I440" s="24">
        <v>4.0</v>
      </c>
      <c r="J440" s="25" t="s">
        <v>66</v>
      </c>
      <c r="K440" s="24">
        <v>80.0</v>
      </c>
      <c r="L440" s="25" t="s">
        <v>187</v>
      </c>
    </row>
    <row r="441" ht="15.75" customHeight="1">
      <c r="A441" s="27" t="s">
        <v>3944</v>
      </c>
      <c r="B441" s="27" t="s">
        <v>1449</v>
      </c>
      <c r="C441" s="27" t="s">
        <v>3529</v>
      </c>
      <c r="D441" s="27" t="s">
        <v>3481</v>
      </c>
      <c r="E441" s="27" t="s">
        <v>3530</v>
      </c>
      <c r="F441" s="27" t="s">
        <v>333</v>
      </c>
      <c r="G441" s="33">
        <v>44573.0</v>
      </c>
      <c r="H441" s="33">
        <v>44584.0</v>
      </c>
      <c r="I441" s="26">
        <v>4.0</v>
      </c>
      <c r="J441" s="27" t="s">
        <v>66</v>
      </c>
      <c r="K441" s="26">
        <v>93.0</v>
      </c>
      <c r="L441" s="27" t="s">
        <v>181</v>
      </c>
    </row>
    <row r="442" ht="15.75" customHeight="1">
      <c r="A442" s="25" t="s">
        <v>3945</v>
      </c>
      <c r="B442" s="25" t="s">
        <v>1455</v>
      </c>
      <c r="C442" s="25" t="s">
        <v>3538</v>
      </c>
      <c r="D442" s="25" t="s">
        <v>3485</v>
      </c>
      <c r="E442" s="25" t="s">
        <v>3486</v>
      </c>
      <c r="F442" s="25" t="s">
        <v>234</v>
      </c>
      <c r="G442" s="30">
        <v>44767.0</v>
      </c>
      <c r="H442" s="30">
        <v>44777.0</v>
      </c>
      <c r="I442" s="24">
        <v>32.0</v>
      </c>
      <c r="J442" s="25" t="s">
        <v>66</v>
      </c>
      <c r="K442" s="24">
        <v>93.0</v>
      </c>
      <c r="L442" s="25" t="s">
        <v>187</v>
      </c>
    </row>
    <row r="443" ht="15.75" customHeight="1">
      <c r="A443" s="27" t="s">
        <v>3946</v>
      </c>
      <c r="B443" s="27" t="s">
        <v>1455</v>
      </c>
      <c r="C443" s="27" t="s">
        <v>3489</v>
      </c>
      <c r="D443" s="27" t="s">
        <v>3485</v>
      </c>
      <c r="E443" s="27" t="s">
        <v>3486</v>
      </c>
      <c r="F443" s="27" t="s">
        <v>336</v>
      </c>
      <c r="G443" s="33">
        <v>45352.0</v>
      </c>
      <c r="H443" s="33">
        <v>45371.0</v>
      </c>
      <c r="I443" s="26">
        <v>40.0</v>
      </c>
      <c r="J443" s="27" t="s">
        <v>66</v>
      </c>
      <c r="K443" s="26">
        <v>91.0</v>
      </c>
      <c r="L443" s="27" t="s">
        <v>181</v>
      </c>
    </row>
    <row r="444" ht="15.75" customHeight="1">
      <c r="A444" s="25" t="s">
        <v>3947</v>
      </c>
      <c r="B444" s="25" t="s">
        <v>1455</v>
      </c>
      <c r="C444" s="25" t="s">
        <v>3492</v>
      </c>
      <c r="D444" s="25" t="s">
        <v>3485</v>
      </c>
      <c r="E444" s="25" t="s">
        <v>3486</v>
      </c>
      <c r="F444" s="25" t="s">
        <v>234</v>
      </c>
      <c r="G444" s="30">
        <v>45585.0</v>
      </c>
      <c r="H444" s="30">
        <v>45613.0</v>
      </c>
      <c r="I444" s="24">
        <v>8.0</v>
      </c>
      <c r="J444" s="25" t="s">
        <v>66</v>
      </c>
      <c r="K444" s="24">
        <v>87.0</v>
      </c>
      <c r="L444" s="25" t="s">
        <v>187</v>
      </c>
    </row>
    <row r="445" ht="15.75" customHeight="1">
      <c r="A445" s="27" t="s">
        <v>3948</v>
      </c>
      <c r="B445" s="27" t="s">
        <v>1455</v>
      </c>
      <c r="C445" s="27" t="s">
        <v>3504</v>
      </c>
      <c r="D445" s="27" t="s">
        <v>3481</v>
      </c>
      <c r="E445" s="27" t="s">
        <v>3505</v>
      </c>
      <c r="F445" s="27" t="s">
        <v>229</v>
      </c>
      <c r="G445" s="33">
        <v>45465.0</v>
      </c>
      <c r="H445" s="33">
        <v>45489.0</v>
      </c>
      <c r="I445" s="26">
        <v>40.0</v>
      </c>
      <c r="J445" s="27" t="s">
        <v>3487</v>
      </c>
      <c r="K445" s="27"/>
      <c r="L445" s="27" t="s">
        <v>187</v>
      </c>
    </row>
    <row r="446" ht="15.75" customHeight="1">
      <c r="A446" s="25" t="s">
        <v>3949</v>
      </c>
      <c r="B446" s="25" t="s">
        <v>1461</v>
      </c>
      <c r="C446" s="25" t="s">
        <v>3489</v>
      </c>
      <c r="D446" s="25" t="s">
        <v>3485</v>
      </c>
      <c r="E446" s="25" t="s">
        <v>3486</v>
      </c>
      <c r="F446" s="25" t="s">
        <v>336</v>
      </c>
      <c r="G446" s="30">
        <v>44827.0</v>
      </c>
      <c r="H446" s="30">
        <v>44839.0</v>
      </c>
      <c r="I446" s="24">
        <v>40.0</v>
      </c>
      <c r="J446" s="25" t="s">
        <v>3497</v>
      </c>
      <c r="K446" s="25"/>
      <c r="L446" s="25" t="s">
        <v>181</v>
      </c>
    </row>
    <row r="447" ht="15.75" customHeight="1">
      <c r="A447" s="27" t="s">
        <v>3950</v>
      </c>
      <c r="B447" s="27" t="s">
        <v>1461</v>
      </c>
      <c r="C447" s="27" t="s">
        <v>3496</v>
      </c>
      <c r="D447" s="27" t="s">
        <v>3485</v>
      </c>
      <c r="E447" s="27" t="s">
        <v>3486</v>
      </c>
      <c r="F447" s="27" t="s">
        <v>263</v>
      </c>
      <c r="G447" s="33">
        <v>45317.0</v>
      </c>
      <c r="H447" s="33">
        <v>45327.0</v>
      </c>
      <c r="I447" s="26">
        <v>4.0</v>
      </c>
      <c r="J447" s="27" t="s">
        <v>66</v>
      </c>
      <c r="K447" s="26">
        <v>93.0</v>
      </c>
      <c r="L447" s="27" t="s">
        <v>181</v>
      </c>
    </row>
    <row r="448" ht="15.75" customHeight="1">
      <c r="A448" s="25" t="s">
        <v>3951</v>
      </c>
      <c r="B448" s="25" t="s">
        <v>1467</v>
      </c>
      <c r="C448" s="25" t="s">
        <v>3489</v>
      </c>
      <c r="D448" s="25" t="s">
        <v>3485</v>
      </c>
      <c r="E448" s="25" t="s">
        <v>3486</v>
      </c>
      <c r="F448" s="25" t="s">
        <v>336</v>
      </c>
      <c r="G448" s="30">
        <v>44778.0</v>
      </c>
      <c r="H448" s="30">
        <v>44802.0</v>
      </c>
      <c r="I448" s="24">
        <v>4.0</v>
      </c>
      <c r="J448" s="25" t="s">
        <v>66</v>
      </c>
      <c r="K448" s="24">
        <v>68.0</v>
      </c>
      <c r="L448" s="25" t="s">
        <v>181</v>
      </c>
    </row>
    <row r="449" ht="15.75" customHeight="1">
      <c r="A449" s="27" t="s">
        <v>3952</v>
      </c>
      <c r="B449" s="27" t="s">
        <v>1467</v>
      </c>
      <c r="C449" s="27" t="s">
        <v>3538</v>
      </c>
      <c r="D449" s="27" t="s">
        <v>3485</v>
      </c>
      <c r="E449" s="27" t="s">
        <v>3486</v>
      </c>
      <c r="F449" s="27" t="s">
        <v>234</v>
      </c>
      <c r="G449" s="33">
        <v>44855.0</v>
      </c>
      <c r="H449" s="33">
        <v>44884.0</v>
      </c>
      <c r="I449" s="26">
        <v>4.0</v>
      </c>
      <c r="J449" s="27" t="s">
        <v>3497</v>
      </c>
      <c r="K449" s="27"/>
      <c r="L449" s="27" t="s">
        <v>187</v>
      </c>
    </row>
    <row r="450" ht="15.75" customHeight="1">
      <c r="A450" s="25" t="s">
        <v>3953</v>
      </c>
      <c r="B450" s="25" t="s">
        <v>1473</v>
      </c>
      <c r="C450" s="25" t="s">
        <v>3480</v>
      </c>
      <c r="D450" s="25" t="s">
        <v>3481</v>
      </c>
      <c r="E450" s="25" t="s">
        <v>3482</v>
      </c>
      <c r="F450" s="25" t="s">
        <v>246</v>
      </c>
      <c r="G450" s="30">
        <v>45626.0</v>
      </c>
      <c r="H450" s="30">
        <v>45634.0</v>
      </c>
      <c r="I450" s="24">
        <v>24.0</v>
      </c>
      <c r="J450" s="25" t="s">
        <v>66</v>
      </c>
      <c r="K450" s="24">
        <v>70.0</v>
      </c>
      <c r="L450" s="25" t="s">
        <v>181</v>
      </c>
    </row>
    <row r="451" ht="15.75" customHeight="1">
      <c r="A451" s="27" t="s">
        <v>3954</v>
      </c>
      <c r="B451" s="27" t="s">
        <v>1473</v>
      </c>
      <c r="C451" s="27" t="s">
        <v>3496</v>
      </c>
      <c r="D451" s="27" t="s">
        <v>3485</v>
      </c>
      <c r="E451" s="27" t="s">
        <v>3486</v>
      </c>
      <c r="F451" s="27" t="s">
        <v>263</v>
      </c>
      <c r="G451" s="33">
        <v>45510.0</v>
      </c>
      <c r="H451" s="33">
        <v>45522.0</v>
      </c>
      <c r="I451" s="26">
        <v>8.0</v>
      </c>
      <c r="J451" s="27" t="s">
        <v>66</v>
      </c>
      <c r="K451" s="26">
        <v>90.0</v>
      </c>
      <c r="L451" s="27" t="s">
        <v>187</v>
      </c>
    </row>
    <row r="452" ht="15.75" customHeight="1">
      <c r="A452" s="25" t="s">
        <v>3955</v>
      </c>
      <c r="B452" s="25" t="s">
        <v>1473</v>
      </c>
      <c r="C452" s="25" t="s">
        <v>3517</v>
      </c>
      <c r="D452" s="25" t="s">
        <v>3481</v>
      </c>
      <c r="E452" s="25" t="s">
        <v>3518</v>
      </c>
      <c r="F452" s="25" t="s">
        <v>238</v>
      </c>
      <c r="G452" s="30">
        <v>45624.0</v>
      </c>
      <c r="H452" s="30">
        <v>45647.0</v>
      </c>
      <c r="I452" s="24">
        <v>24.0</v>
      </c>
      <c r="J452" s="25" t="s">
        <v>66</v>
      </c>
      <c r="K452" s="24">
        <v>71.0</v>
      </c>
      <c r="L452" s="25" t="s">
        <v>181</v>
      </c>
    </row>
    <row r="453" ht="15.75" customHeight="1">
      <c r="A453" s="27" t="s">
        <v>3956</v>
      </c>
      <c r="B453" s="27" t="s">
        <v>1473</v>
      </c>
      <c r="C453" s="27" t="s">
        <v>3501</v>
      </c>
      <c r="D453" s="27" t="s">
        <v>3481</v>
      </c>
      <c r="E453" s="27" t="s">
        <v>3502</v>
      </c>
      <c r="F453" s="27" t="s">
        <v>266</v>
      </c>
      <c r="G453" s="33">
        <v>45278.0</v>
      </c>
      <c r="H453" s="33">
        <v>45294.0</v>
      </c>
      <c r="I453" s="26">
        <v>16.0</v>
      </c>
      <c r="J453" s="27" t="s">
        <v>66</v>
      </c>
      <c r="K453" s="26">
        <v>83.0</v>
      </c>
      <c r="L453" s="27" t="s">
        <v>187</v>
      </c>
    </row>
    <row r="454" ht="15.75" customHeight="1">
      <c r="A454" s="25" t="s">
        <v>3957</v>
      </c>
      <c r="B454" s="25" t="s">
        <v>1473</v>
      </c>
      <c r="C454" s="25" t="s">
        <v>3507</v>
      </c>
      <c r="D454" s="25" t="s">
        <v>3481</v>
      </c>
      <c r="E454" s="25" t="s">
        <v>3508</v>
      </c>
      <c r="F454" s="25" t="s">
        <v>288</v>
      </c>
      <c r="G454" s="30">
        <v>45552.0</v>
      </c>
      <c r="H454" s="30">
        <v>45557.0</v>
      </c>
      <c r="I454" s="24">
        <v>32.0</v>
      </c>
      <c r="J454" s="25" t="s">
        <v>66</v>
      </c>
      <c r="K454" s="24">
        <v>62.0</v>
      </c>
      <c r="L454" s="25" t="s">
        <v>187</v>
      </c>
    </row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2026-04-03T14:26:47Z</dcterms:created>
  <dc:creator>openpyxl</dc:creator>
</cp:coreProperties>
</file>